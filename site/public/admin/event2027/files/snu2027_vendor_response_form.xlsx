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 작성안내" sheetId="1" state="visible" r:id="rId1"/>
    <sheet xmlns:r="http://schemas.openxmlformats.org/officeDocument/2006/relationships" name="1 기본정보·참여의사" sheetId="2" state="visible" r:id="rId2"/>
    <sheet xmlns:r="http://schemas.openxmlformats.org/officeDocument/2006/relationships" name="2 수행실적" sheetId="3" state="visible" r:id="rId3"/>
    <sheet xmlns:r="http://schemas.openxmlformats.org/officeDocument/2006/relationships" name="3 투입인력" sheetId="4" state="visible" r:id="rId4"/>
    <sheet xmlns:r="http://schemas.openxmlformats.org/officeDocument/2006/relationships" name="4 역량·조건 확인" sheetId="5" state="visible" r:id="rId5"/>
    <sheet xmlns:r="http://schemas.openxmlformats.org/officeDocument/2006/relationships" name="5 견적(700명)" sheetId="6" state="visible" r:id="rId6"/>
    <sheet xmlns:r="http://schemas.openxmlformats.org/officeDocument/2006/relationships" name="6 인원 증감·옵션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6B6259"/>
      <sz val="9"/>
    </font>
    <font>
      <name val="맑은 고딕"/>
      <b val="1"/>
      <color rgb="001F1A17"/>
      <sz val="10"/>
    </font>
    <font>
      <name val="맑은 고딕"/>
      <color rgb="001F1A17"/>
      <sz val="10"/>
    </font>
    <font>
      <name val="맑은 고딕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3A0A14"/>
      </patternFill>
    </fill>
    <fill>
      <patternFill patternType="solid">
        <fgColor rgb="00F7F4EE"/>
      </patternFill>
    </fill>
    <fill>
      <patternFill patternType="solid">
        <fgColor rgb="005C1424"/>
      </patternFill>
    </fill>
    <fill>
      <patternFill patternType="solid">
        <fgColor rgb="00FFF8E1"/>
      </patternFill>
    </fill>
    <fill>
      <patternFill patternType="solid">
        <fgColor rgb="00F3E2E7"/>
      </patternFill>
    </fill>
  </fills>
  <borders count="6">
    <border>
      <left/>
      <right/>
      <top/>
      <bottom/>
      <diagonal/>
    </border>
    <border>
      <left style="thin">
        <color rgb="00D9CFBE"/>
      </left>
      <right style="thin">
        <color rgb="00D9CFBE"/>
      </right>
      <top style="thin">
        <color rgb="00D9CFBE"/>
      </top>
      <bottom style="thin">
        <color rgb="00D9CFBE"/>
      </bottom>
    </border>
    <border>
      <left/>
      <right/>
      <top style="thin">
        <color rgb="00D9CFBE"/>
      </top>
      <bottom/>
      <diagonal/>
    </border>
    <border>
      <left/>
      <right style="thin">
        <color rgb="00D9CFBE"/>
      </right>
      <top style="thin">
        <color rgb="00D9CFBE"/>
      </top>
      <bottom/>
      <diagonal/>
    </border>
    <border>
      <left/>
      <right/>
      <top style="thin">
        <color rgb="00D9CFBE"/>
      </top>
      <bottom style="thin">
        <color rgb="00D9CFBE"/>
      </bottom>
      <diagonal/>
    </border>
    <border>
      <left/>
      <right style="thin">
        <color rgb="00D9CFBE"/>
      </right>
      <top style="thin">
        <color rgb="00D9CFBE"/>
      </top>
      <bottom style="thin">
        <color rgb="00D9CFBE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applyAlignment="1" pivotButton="0" quotePrefix="0" xfId="0">
      <alignment vertical="center" wrapText="1" inden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5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3" fontId="4" fillId="5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right" vertical="center" wrapText="1"/>
    </xf>
    <xf numFmtId="3" fontId="3" fillId="0" borderId="1" applyAlignment="1" pivotButton="0" quotePrefix="0" xfId="0">
      <alignment horizontal="right" vertical="center" wrapText="1"/>
    </xf>
    <xf numFmtId="164" fontId="3" fillId="5" borderId="1" applyAlignment="1" pivotButton="0" quotePrefix="0" xfId="0">
      <alignment horizontal="right" vertical="center" wrapText="1"/>
    </xf>
    <xf numFmtId="3" fontId="3" fillId="6" borderId="1" applyAlignment="1" pivotButton="0" quotePrefix="0" xfId="0">
      <alignment horizontal="right" vertical="center" wrapText="1"/>
    </xf>
    <xf numFmtId="3" fontId="4" fillId="5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0" customHeight="1">
      <c r="A1" s="1" t="inlineStr">
        <is>
          <t>2027 창립총회 행사대행사 제안 — 회신 양식</t>
        </is>
      </c>
    </row>
    <row r="2" ht="30" customHeight="1">
      <c r="A2" s="2" t="inlineStr">
        <is>
          <t>서울대학교 경영대학 총동문회 창립총회 행사기획팀  |  2027. 4. 16.(금) 18:00–21:00 · 그랜드 하얏트 서울 Grand Ballroom · 약 700명(600~800명)</t>
        </is>
      </c>
    </row>
    <row r="4" ht="42" customHeight="1">
      <c r="A4" s="3" t="inlineStr">
        <is>
          <t>작성 방법</t>
        </is>
      </c>
      <c r="B4" s="4" t="inlineStr">
        <is>
          <t>노란 칸만 입력해 주세요. 시트 1~6을 모두 작성한 뒤 파일명을 '회신양식_회사명.xlsx'로 저장해 pm@snubusiness.com 으로 회신해 주십시오.</t>
        </is>
      </c>
    </row>
    <row r="5" ht="42" customHeight="1">
      <c r="A5" s="3" t="inlineStr">
        <is>
          <t>1차 회신 (참여 의사)</t>
        </is>
      </c>
      <c r="B5" s="4" t="inlineStr">
        <is>
          <t>시트 1 기본정보·참여의사, 2 수행실적, 3 투입인력 — 참여 의사 확인 단계에서 회신</t>
        </is>
      </c>
    </row>
    <row r="6" ht="42" customHeight="1">
      <c r="A6" s="3" t="inlineStr">
        <is>
          <t>2차 회신 (정식 제안)</t>
        </is>
      </c>
      <c r="B6" s="4" t="inlineStr">
        <is>
          <t>시트 4 역량·조건 확인, 5 견적(700명 기준), 6 인원 증감·옵션 — 정식 RFP 배포 후 제안서와 함께 회신</t>
        </is>
      </c>
    </row>
    <row r="7" ht="42" customHeight="1">
      <c r="A7" s="3" t="inlineStr">
        <is>
          <t>예산 기준</t>
        </is>
      </c>
      <c r="B7" s="4" t="inlineStr">
        <is>
          <t>호텔 식음료를 제외한 행사 총괄 기획·제작·운영 범위 부가세 포함 약 1억 2,000만~1억 3,000만원 (대행 수수료 총액이 아님). 견적은 공급가액과 부가세를 구분해 기재.</t>
        </is>
      </c>
    </row>
    <row r="8" ht="42" customHeight="1">
      <c r="A8" s="3" t="inlineStr">
        <is>
          <t>견적 제외</t>
        </is>
      </c>
      <c r="B8" s="4" t="inlineStr">
        <is>
          <t>초청 연사 강연료·항공·숙박, 고급 기념품, 호텔 식음료는 견적에서 제외. 특별 강연의 진행·연출·운영은 포함.</t>
        </is>
      </c>
    </row>
    <row r="9" ht="42" customHeight="1">
      <c r="A9" s="3" t="inlineStr">
        <is>
          <t>호텔 조건</t>
        </is>
      </c>
      <c r="B9" s="4" t="inlineStr">
        <is>
          <t>행사장 입장·설치 당일 15:00부터(조기 설치는 호텔 협의 필요) / 외부 AV 사용 시 호텔 파트너 Encore 감독 및 감독비 가능 / 외부 대행사 정보 행사 60일 전 호텔 서면 통보 / 외부 설치물·전기 사전 승인</t>
        </is>
      </c>
    </row>
    <row r="10" ht="42" customHeight="1">
      <c r="A10" s="3" t="inlineStr">
        <is>
          <t>문의</t>
        </is>
      </c>
      <c r="B10" s="4" t="inlineStr">
        <is>
          <t>이태경 프로젝트 리더 · pm@snubusiness.com</t>
        </is>
      </c>
    </row>
  </sheetData>
  <mergeCells count="9">
    <mergeCell ref="B4:F4"/>
    <mergeCell ref="A2:F2"/>
    <mergeCell ref="B7:F7"/>
    <mergeCell ref="B6:F6"/>
    <mergeCell ref="B10:F10"/>
    <mergeCell ref="A1:F1"/>
    <mergeCell ref="B5:F5"/>
    <mergeCell ref="B8:F8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44" customWidth="1" min="1" max="1"/>
    <col width="30" customWidth="1" min="2" max="2"/>
    <col width="30" customWidth="1" min="3" max="3"/>
    <col width="30" customWidth="1" min="4" max="4"/>
  </cols>
  <sheetData>
    <row r="1" ht="30" customHeight="1">
      <c r="A1" s="1" t="inlineStr">
        <is>
          <t>1. 기본 정보 · 참여 의사</t>
        </is>
      </c>
    </row>
    <row r="2" ht="30" customHeight="1">
      <c r="A2" s="2" t="inlineStr">
        <is>
          <t>1차 회신</t>
        </is>
      </c>
    </row>
    <row r="4">
      <c r="A4" s="5" t="inlineStr">
        <is>
          <t>항목</t>
        </is>
      </c>
      <c r="B4" s="5" t="inlineStr">
        <is>
          <t>회신 내용</t>
        </is>
      </c>
      <c r="C4" s="6" t="n"/>
      <c r="D4" s="7" t="n"/>
    </row>
    <row r="5" ht="24" customHeight="1">
      <c r="A5" s="3" t="inlineStr">
        <is>
          <t>회사명</t>
        </is>
      </c>
      <c r="B5" s="8" t="inlineStr"/>
    </row>
    <row r="6" ht="24" customHeight="1">
      <c r="A6" s="3" t="inlineStr">
        <is>
          <t>대표자</t>
        </is>
      </c>
      <c r="B6" s="8" t="inlineStr"/>
    </row>
    <row r="7" ht="24" customHeight="1">
      <c r="A7" s="3" t="inlineStr">
        <is>
          <t>설립연도</t>
        </is>
      </c>
      <c r="B7" s="8" t="inlineStr"/>
    </row>
    <row r="8" ht="24" customHeight="1">
      <c r="A8" s="3" t="inlineStr">
        <is>
          <t>상시 인원(명)</t>
        </is>
      </c>
      <c r="B8" s="8" t="inlineStr"/>
    </row>
    <row r="9" ht="24" customHeight="1">
      <c r="A9" s="3" t="inlineStr">
        <is>
          <t>최근 3개년 매출(억원)</t>
        </is>
      </c>
      <c r="B9" s="8" t="inlineStr"/>
    </row>
    <row r="10" ht="24" customHeight="1">
      <c r="A10" s="3" t="inlineStr">
        <is>
          <t>주소</t>
        </is>
      </c>
      <c r="B10" s="8" t="inlineStr"/>
    </row>
    <row r="11" ht="24" customHeight="1">
      <c r="A11" s="3" t="inlineStr">
        <is>
          <t>제안 담당자 성함·직책</t>
        </is>
      </c>
      <c r="B11" s="8" t="inlineStr"/>
    </row>
    <row r="12" ht="24" customHeight="1">
      <c r="A12" s="3" t="inlineStr">
        <is>
          <t>담당자 직통 전화</t>
        </is>
      </c>
      <c r="B12" s="8" t="inlineStr"/>
    </row>
    <row r="13" ht="24" customHeight="1">
      <c r="A13" s="3" t="inlineStr">
        <is>
          <t>담당자 휴대전화</t>
        </is>
      </c>
      <c r="B13" s="8" t="inlineStr"/>
    </row>
    <row r="14" ht="24" customHeight="1">
      <c r="A14" s="3" t="inlineStr">
        <is>
          <t>RFP 수신 이메일</t>
        </is>
      </c>
      <c r="B14" s="8" t="inlineStr"/>
    </row>
    <row r="15" ht="24" customHeight="1">
      <c r="A15" s="3" t="inlineStr">
        <is>
          <t>2027.4.16(금) 현장 운영 가능 여부 (가능/불가/조건부)</t>
        </is>
      </c>
      <c r="B15" s="8" t="inlineStr"/>
    </row>
    <row r="16" ht="24" customHeight="1">
      <c r="A16" s="3" t="inlineStr">
        <is>
          <t>11월 RFP·PT 일정 대응 가능 여부 (가능/불가/조건부)</t>
        </is>
      </c>
      <c r="B16" s="8" t="inlineStr"/>
    </row>
    <row r="17" ht="24" customHeight="1">
      <c r="A17" s="3" t="inlineStr">
        <is>
          <t>동일 일자 경합 행사 여부</t>
        </is>
      </c>
      <c r="B17" s="8" t="inlineStr"/>
    </row>
    <row r="18" ht="24" customHeight="1">
      <c r="A18" s="3" t="inlineStr">
        <is>
          <t>참여 의사 (참여/불참/검토 중)</t>
        </is>
      </c>
      <c r="B18" s="8" t="inlineStr"/>
    </row>
    <row r="19" ht="24" customHeight="1">
      <c r="A19" s="3" t="inlineStr">
        <is>
          <t>기타 전달 사항</t>
        </is>
      </c>
      <c r="B19" s="8" t="inlineStr"/>
    </row>
  </sheetData>
  <mergeCells count="18">
    <mergeCell ref="B10:D10"/>
    <mergeCell ref="A1:D1"/>
    <mergeCell ref="B11:D11"/>
    <mergeCell ref="B5:D5"/>
    <mergeCell ref="B14:D14"/>
    <mergeCell ref="B15:D15"/>
    <mergeCell ref="B19:D19"/>
    <mergeCell ref="B8:D8"/>
    <mergeCell ref="B4:D4"/>
    <mergeCell ref="B17:D17"/>
    <mergeCell ref="B9:D9"/>
    <mergeCell ref="B13:D13"/>
    <mergeCell ref="B18:D18"/>
    <mergeCell ref="A2:D2"/>
    <mergeCell ref="B12:D12"/>
    <mergeCell ref="B7:D7"/>
    <mergeCell ref="B6:D6"/>
    <mergeCell ref="B16:D16"/>
  </mergeCells>
  <dataValidations count="2">
    <dataValidation sqref="B15 B16" showDropDown="0" showInputMessage="0" showErrorMessage="0" allowBlank="1" type="list">
      <formula1>"가능,불가,조건부"</formula1>
    </dataValidation>
    <dataValidation sqref="B18" showDropDown="0" showInputMessage="0" showErrorMessage="0" allowBlank="1" type="list">
      <formula1>"참여,불참,검토 중"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26" customWidth="1" min="3" max="3"/>
    <col width="16" customWidth="1" min="4" max="4"/>
    <col width="18" customWidth="1" min="5" max="5"/>
    <col width="9" customWidth="1" min="6" max="6"/>
    <col width="14" customWidth="1" min="7" max="7"/>
    <col width="24" customWidth="1" min="8" max="8"/>
    <col width="12" customWidth="1" min="9" max="9"/>
    <col width="12" customWidth="1" min="10" max="10"/>
    <col width="12" customWidth="1" min="11" max="11"/>
  </cols>
  <sheetData>
    <row r="1" ht="30" customHeight="1">
      <c r="A1" s="1" t="inlineStr">
        <is>
          <t>2. 최근 5년 유사 행사 수행 실적</t>
        </is>
      </c>
    </row>
    <row r="2" ht="30" customHeight="1">
      <c r="A2" s="2" t="inlineStr">
        <is>
          <t>500~1,000명 규모 갈라·창립기념식·기업 VIP 만찬 위주 2~5건. 귀사가 직접 수행한 범위를 정확히 기재해 주십시오.</t>
        </is>
      </c>
    </row>
    <row r="4">
      <c r="A4" s="5" t="inlineStr">
        <is>
          <t>No</t>
        </is>
      </c>
      <c r="B4" s="5" t="inlineStr">
        <is>
          <t>연도·월</t>
        </is>
      </c>
      <c r="C4" s="5" t="inlineStr">
        <is>
          <t>행사명</t>
        </is>
      </c>
      <c r="D4" s="5" t="inlineStr">
        <is>
          <t>주최(고객)</t>
        </is>
      </c>
      <c r="E4" s="5" t="inlineStr">
        <is>
          <t>장소(호텔·홀)</t>
        </is>
      </c>
      <c r="F4" s="5" t="inlineStr">
        <is>
          <t>참석 인원</t>
        </is>
      </c>
      <c r="G4" s="5" t="inlineStr">
        <is>
          <t>행사 성격</t>
        </is>
      </c>
      <c r="H4" s="5" t="inlineStr">
        <is>
          <t>수행 범위
(기획/연출/제작/운영/등록/의전)</t>
        </is>
      </c>
      <c r="I4" s="5" t="inlineStr">
        <is>
          <t>직접 수행 vs 외주</t>
        </is>
      </c>
      <c r="J4" s="5" t="inlineStr">
        <is>
          <t>투입 PM(성함)</t>
        </is>
      </c>
      <c r="K4" s="5" t="inlineStr">
        <is>
          <t>계약 규모(만원, 선택)</t>
        </is>
      </c>
    </row>
    <row r="5" ht="34" customHeight="1">
      <c r="A5" s="9" t="n">
        <v>1</v>
      </c>
      <c r="B5" s="8" t="inlineStr"/>
      <c r="C5" s="8" t="inlineStr"/>
      <c r="D5" s="8" t="inlineStr"/>
      <c r="E5" s="8" t="inlineStr"/>
      <c r="F5" s="8" t="inlineStr"/>
      <c r="G5" s="8" t="inlineStr"/>
      <c r="H5" s="8" t="inlineStr"/>
      <c r="I5" s="8" t="inlineStr"/>
      <c r="J5" s="8" t="inlineStr"/>
      <c r="K5" s="8" t="inlineStr"/>
    </row>
    <row r="6" ht="34" customHeight="1">
      <c r="A6" s="9" t="n">
        <v>2</v>
      </c>
      <c r="B6" s="8" t="inlineStr"/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</row>
    <row r="7" ht="34" customHeight="1">
      <c r="A7" s="9" t="n">
        <v>3</v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</row>
    <row r="8" ht="34" customHeight="1">
      <c r="A8" s="9" t="n">
        <v>4</v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</row>
    <row r="9" ht="34" customHeight="1">
      <c r="A9" s="9" t="n">
        <v>5</v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</row>
    <row r="11">
      <c r="A11" s="3" t="inlineStr">
        <is>
          <t>추가 질문</t>
        </is>
      </c>
      <c r="B11" s="4" t="inlineStr">
        <is>
          <t>그랜드 하얏트 서울 Grand Ballroom 직접 수행 경험 / 설치·철거 / 호텔 Encore 협의 경험이 있다면 행사명과 연도를 기재</t>
        </is>
      </c>
    </row>
    <row r="12">
      <c r="A12" s="8" t="inlineStr"/>
    </row>
    <row r="13"/>
    <row r="14"/>
  </sheetData>
  <mergeCells count="4">
    <mergeCell ref="A2:K2"/>
    <mergeCell ref="A12:K14"/>
    <mergeCell ref="A1:K1"/>
    <mergeCell ref="B11:K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9" customWidth="1" min="4" max="4"/>
    <col width="40" customWidth="1" min="5" max="5"/>
    <col width="12" customWidth="1" min="6" max="6"/>
    <col width="14" customWidth="1" min="7" max="7"/>
    <col width="18" customWidth="1" min="8" max="8"/>
  </cols>
  <sheetData>
    <row r="1" ht="30" customHeight="1">
      <c r="A1" s="1" t="inlineStr">
        <is>
          <t>3. 실제 투입 예정 인력</t>
        </is>
      </c>
    </row>
    <row r="2" ht="30" customHeight="1">
      <c r="A2" s="2" t="inlineStr">
        <is>
          <t>제안서에 이름을 올린 인력이 실제 수행해야 합니다. 변경 시 사전 협의 조건.</t>
        </is>
      </c>
    </row>
    <row r="4">
      <c r="A4" s="5" t="inlineStr">
        <is>
          <t>역할</t>
        </is>
      </c>
      <c r="B4" s="5" t="inlineStr">
        <is>
          <t>성함</t>
        </is>
      </c>
      <c r="C4" s="5" t="inlineStr">
        <is>
          <t>직책</t>
        </is>
      </c>
      <c r="D4" s="5" t="inlineStr">
        <is>
          <t>경력(년)</t>
        </is>
      </c>
      <c r="E4" s="5" t="inlineStr">
        <is>
          <t>대표 수행 실적 (행사명·연도·규모)</t>
        </is>
      </c>
      <c r="F4" s="5" t="inlineStr">
        <is>
          <t>본 행사 투입률(%)</t>
        </is>
      </c>
      <c r="G4" s="5" t="inlineStr">
        <is>
          <t>다른 동시 진행 프로젝트 수</t>
        </is>
      </c>
      <c r="H4" s="5" t="inlineStr">
        <is>
          <t>비고</t>
        </is>
      </c>
    </row>
    <row r="5" ht="30" customHeight="1">
      <c r="A5" s="3" t="inlineStr">
        <is>
          <t>총괄 PM</t>
        </is>
      </c>
      <c r="B5" s="8" t="inlineStr"/>
      <c r="C5" s="8" t="inlineStr"/>
      <c r="D5" s="8" t="inlineStr"/>
      <c r="E5" s="8" t="inlineStr"/>
      <c r="F5" s="8" t="inlineStr"/>
      <c r="G5" s="8" t="inlineStr"/>
      <c r="H5" s="8" t="inlineStr"/>
    </row>
    <row r="6" ht="30" customHeight="1">
      <c r="A6" s="3" t="inlineStr">
        <is>
          <t>크리에이티브 디렉터</t>
        </is>
      </c>
      <c r="B6" s="8" t="inlineStr"/>
      <c r="C6" s="8" t="inlineStr"/>
      <c r="D6" s="8" t="inlineStr"/>
      <c r="E6" s="8" t="inlineStr"/>
      <c r="F6" s="8" t="inlineStr"/>
      <c r="G6" s="8" t="inlineStr"/>
      <c r="H6" s="8" t="inlineStr"/>
    </row>
    <row r="7" ht="30" customHeight="1">
      <c r="A7" s="3" t="inlineStr">
        <is>
          <t>현장 운영 책임자</t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/>
    </row>
    <row r="8" ht="30" customHeight="1">
      <c r="A8" s="3" t="inlineStr">
        <is>
          <t>AV·무대 책임</t>
        </is>
      </c>
      <c r="B8" s="8" t="inlineStr"/>
      <c r="C8" s="8" t="inlineStr"/>
      <c r="D8" s="8" t="inlineStr"/>
      <c r="E8" s="8" t="inlineStr"/>
      <c r="F8" s="8" t="inlineStr"/>
      <c r="G8" s="8" t="inlineStr"/>
      <c r="H8" s="8" t="inlineStr"/>
    </row>
    <row r="9" ht="30" customHeight="1">
      <c r="A9" s="3" t="inlineStr">
        <is>
          <t>등록·VIP 의전 책임</t>
        </is>
      </c>
      <c r="B9" s="8" t="inlineStr"/>
      <c r="C9" s="8" t="inlineStr"/>
      <c r="D9" s="8" t="inlineStr"/>
      <c r="E9" s="8" t="inlineStr"/>
      <c r="F9" s="8" t="inlineStr"/>
      <c r="G9" s="8" t="inlineStr"/>
      <c r="H9" s="8" t="inlineStr"/>
    </row>
    <row r="10" ht="30" customHeight="1">
      <c r="A10" s="3" t="inlineStr">
        <is>
          <t>영상 제작 책임</t>
        </is>
      </c>
      <c r="B10" s="8" t="inlineStr"/>
      <c r="C10" s="8" t="inlineStr"/>
      <c r="D10" s="8" t="inlineStr"/>
      <c r="E10" s="8" t="inlineStr"/>
      <c r="F10" s="8" t="inlineStr"/>
      <c r="G10" s="8" t="inlineStr"/>
      <c r="H10" s="8" t="inlineStr"/>
    </row>
    <row r="11" ht="30" customHeight="1">
      <c r="A11" s="3" t="inlineStr">
        <is>
          <t>기타</t>
        </is>
      </c>
      <c r="B11" s="8" t="inlineStr"/>
      <c r="C11" s="8" t="inlineStr"/>
      <c r="D11" s="8" t="inlineStr"/>
      <c r="E11" s="8" t="inlineStr"/>
      <c r="F11" s="8" t="inlineStr"/>
      <c r="G11" s="8" t="inlineStr"/>
      <c r="H11" s="8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48" customWidth="1" min="3" max="3"/>
    <col width="12" customWidth="1" min="4" max="4"/>
  </cols>
  <sheetData>
    <row r="1" ht="30" customHeight="1">
      <c r="A1" s="1" t="inlineStr">
        <is>
          <t>4. 역량 확인 및 필수 조건 동의</t>
        </is>
      </c>
    </row>
    <row r="2" ht="30" customHeight="1">
      <c r="A2" s="2" t="inlineStr">
        <is>
          <t>2차 회신 — 서술은 간단히, 상세는 제안서에 기재</t>
        </is>
      </c>
    </row>
    <row r="4">
      <c r="A4" s="5" t="inlineStr">
        <is>
          <t>구분</t>
        </is>
      </c>
      <c r="B4" s="5" t="inlineStr">
        <is>
          <t>질문</t>
        </is>
      </c>
      <c r="C4" s="5" t="inlineStr">
        <is>
          <t>답변</t>
        </is>
      </c>
      <c r="D4" s="5" t="inlineStr">
        <is>
          <t>제안서 페이지</t>
        </is>
      </c>
    </row>
    <row r="5" ht="44" customHeight="1">
      <c r="A5" s="3" t="inlineStr">
        <is>
          <t>프로그램</t>
        </is>
      </c>
      <c r="B5" s="4" t="inlineStr">
        <is>
          <t>창립총회 의결 + 만찬 + 특별 초청 강연(1세션, 연사 미정) + 창립 세리머니 + 동문 네트워킹을 18:00–21:00 3시간 안에 어떻게 배분하는가 (분 단위 개요)</t>
        </is>
      </c>
      <c r="C5" s="8" t="inlineStr"/>
      <c r="D5" s="8" t="inlineStr"/>
    </row>
    <row r="6" ht="44" customHeight="1">
      <c r="A6" s="3" t="inlineStr">
        <is>
          <t>프로그램</t>
        </is>
      </c>
      <c r="B6" s="4" t="inlineStr">
        <is>
          <t>창립 메시지를 드러내는 오프닝·세리머니 핵심 아이디어 1~2개</t>
        </is>
      </c>
      <c r="C6" s="8" t="inlineStr"/>
      <c r="D6" s="8" t="inlineStr"/>
    </row>
    <row r="7" ht="44" customHeight="1">
      <c r="A7" s="3" t="inlineStr">
        <is>
          <t>제작·외주</t>
        </is>
      </c>
      <c r="B7" s="4" t="inlineStr">
        <is>
          <t>오프닝 영상·무대·AV·공연 중 사내 제작 항목과 재하도급 항목을 구분 (외주라면 파트너사명)</t>
        </is>
      </c>
      <c r="C7" s="8" t="inlineStr"/>
      <c r="D7" s="8" t="inlineStr"/>
    </row>
    <row r="8" ht="44" customHeight="1">
      <c r="A8" s="3" t="inlineStr">
        <is>
          <t>호텔</t>
        </is>
      </c>
      <c r="B8" s="4" t="inlineStr">
        <is>
          <t>15:00 입장·설치 조건에서 무대 설치·리허설 시간 확보 방안 (조기 셋업 필요 여부 포함)</t>
        </is>
      </c>
      <c r="C8" s="8" t="inlineStr"/>
      <c r="D8" s="8" t="inlineStr"/>
    </row>
    <row r="9" ht="44" customHeight="1">
      <c r="A9" s="3" t="inlineStr">
        <is>
          <t>호텔</t>
        </is>
      </c>
      <c r="B9" s="4" t="inlineStr">
        <is>
          <t>외부 AV 사용 시 Encore 감독비 등 호텔 관련 외부 비용을 견적에서 구분 가능한가</t>
        </is>
      </c>
      <c r="C9" s="8" t="inlineStr"/>
      <c r="D9" s="8" t="inlineStr"/>
    </row>
    <row r="10" ht="44" customHeight="1">
      <c r="A10" s="3" t="inlineStr">
        <is>
          <t>등록·동문 정보</t>
        </is>
      </c>
      <c r="B10" s="4" t="inlineStr">
        <is>
          <t>동문회 홈페이지(snubusiness.com) 회원·RSVP·QR 등록과의 연계 방식, 자체 등록 시스템 여부</t>
        </is>
      </c>
      <c r="C10" s="8" t="inlineStr"/>
      <c r="D10" s="8" t="inlineStr"/>
    </row>
    <row r="11" ht="44" customHeight="1">
      <c r="A11" s="3" t="inlineStr">
        <is>
          <t>등록·동문 정보</t>
        </is>
      </c>
      <c r="B11" s="4" t="inlineStr">
        <is>
          <t>참석자 개인정보 처리 방식(수집·보관·파기, 위탁 계약)</t>
        </is>
      </c>
      <c r="C11" s="8" t="inlineStr"/>
      <c r="D11" s="8" t="inlineStr"/>
    </row>
    <row r="12" ht="44" customHeight="1">
      <c r="A12" s="3" t="inlineStr">
        <is>
          <t>VIP·현장</t>
        </is>
      </c>
      <c r="B12" s="4" t="inlineStr">
        <is>
          <t>VIP 의전·좌석 배치·동선, 안전 관리 계획 개요</t>
        </is>
      </c>
      <c r="C12" s="8" t="inlineStr"/>
      <c r="D12" s="8" t="inlineStr"/>
    </row>
    <row r="13" ht="44" customHeight="1">
      <c r="A13" s="3" t="inlineStr">
        <is>
          <t>기록</t>
        </is>
      </c>
      <c r="B13" s="4" t="inlineStr">
        <is>
          <t>사진·영상 기록 범위와 납품물</t>
        </is>
      </c>
      <c r="C13" s="8" t="inlineStr"/>
      <c r="D13" s="8" t="inlineStr"/>
    </row>
    <row r="14" ht="44" customHeight="1">
      <c r="A14" s="3" t="inlineStr">
        <is>
          <t>필수 동의</t>
        </is>
      </c>
      <c r="B14" s="4" t="inlineStr">
        <is>
          <t>행사 60일 전 호텔 서면 통보 및 외부 설치물·전기 사전 승인 절차 이행 (동의/협의 필요)</t>
        </is>
      </c>
      <c r="C14" s="8" t="inlineStr"/>
      <c r="D14" s="8" t="inlineStr"/>
    </row>
    <row r="15" ht="44" customHeight="1">
      <c r="A15" s="3" t="inlineStr">
        <is>
          <t>필수 동의</t>
        </is>
      </c>
      <c r="B15" s="4" t="inlineStr">
        <is>
          <t>견적은 부가세 포함 총액과 별도 금액을 모두 기재 (동의/협의 필요)</t>
        </is>
      </c>
      <c r="C15" s="8" t="inlineStr"/>
      <c r="D15" s="8" t="inlineStr"/>
    </row>
    <row r="16" ht="44" customHeight="1">
      <c r="A16" s="3" t="inlineStr">
        <is>
          <t>필수 동의</t>
        </is>
      </c>
      <c r="B16" s="4" t="inlineStr">
        <is>
          <t>제안서에 기재한 핵심 인력의 실제 투입 확약 (동의/협의 필요)</t>
        </is>
      </c>
      <c r="C16" s="8" t="inlineStr"/>
      <c r="D16" s="8" t="inlineStr"/>
    </row>
  </sheetData>
  <mergeCells count="2">
    <mergeCell ref="A1:D1"/>
    <mergeCell ref="A2:D2"/>
  </mergeCells>
  <dataValidations count="1">
    <dataValidation sqref="C14:C16" showDropDown="0" showInputMessage="0" showErrorMessage="0" allowBlank="1" type="list">
      <formula1>"동의,협의 필요"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30" customWidth="1" min="3" max="3"/>
    <col width="7" customWidth="1" min="4" max="4"/>
    <col width="7" customWidth="1" min="5" max="5"/>
    <col width="13" customWidth="1" min="6" max="6"/>
    <col width="15" customWidth="1" min="7" max="7"/>
    <col width="10" customWidth="1" min="8" max="8"/>
    <col width="10" customWidth="1" min="9" max="9"/>
  </cols>
  <sheetData>
    <row r="1" ht="30" customHeight="1">
      <c r="A1" s="1" t="inlineStr">
        <is>
          <t>5. 견적서 — 700명 기준</t>
        </is>
      </c>
    </row>
    <row r="2" ht="30" customHeight="1">
      <c r="A2" s="2" t="inlineStr">
        <is>
          <t>단위: 원. 수량×단가 입력 시 금액 자동 계산. 기획·PM비와 외부 제작·운영비를 구분. '필수/선택'으로 조정 가능 항목 표시.</t>
        </is>
      </c>
    </row>
    <row r="4">
      <c r="A4" s="5" t="inlineStr">
        <is>
          <t>구분</t>
        </is>
      </c>
      <c r="B4" s="5" t="inlineStr">
        <is>
          <t>항목</t>
        </is>
      </c>
      <c r="C4" s="5" t="inlineStr">
        <is>
          <t>세부 내용·사양</t>
        </is>
      </c>
      <c r="D4" s="5" t="inlineStr">
        <is>
          <t>수량</t>
        </is>
      </c>
      <c r="E4" s="5" t="inlineStr">
        <is>
          <t>단위</t>
        </is>
      </c>
      <c r="F4" s="5" t="inlineStr">
        <is>
          <t>단가(원)</t>
        </is>
      </c>
      <c r="G4" s="5" t="inlineStr">
        <is>
          <t>금액(원)</t>
        </is>
      </c>
      <c r="H4" s="5" t="inlineStr">
        <is>
          <t>필수/선택</t>
        </is>
      </c>
      <c r="I4" s="5" t="inlineStr">
        <is>
          <t>직접/외주</t>
        </is>
      </c>
    </row>
    <row r="5">
      <c r="A5" s="3" t="inlineStr">
        <is>
          <t>A. 기획·PM</t>
        </is>
      </c>
      <c r="B5" s="4" t="inlineStr">
        <is>
          <t>총괄 기획·연출</t>
        </is>
      </c>
      <c r="C5" s="8" t="inlineStr"/>
      <c r="D5" s="8" t="inlineStr"/>
      <c r="E5" s="8" t="inlineStr"/>
      <c r="F5" s="10" t="inlineStr"/>
      <c r="G5" s="11">
        <f>IFERROR(D5*F5,0)</f>
        <v/>
      </c>
      <c r="H5" s="8" t="inlineStr"/>
      <c r="I5" s="8" t="inlineStr"/>
    </row>
    <row r="6">
      <c r="A6" s="3" t="inlineStr">
        <is>
          <t>A. 기획·PM</t>
        </is>
      </c>
      <c r="B6" s="4" t="inlineStr">
        <is>
          <t>프로젝트 관리(PM)</t>
        </is>
      </c>
      <c r="C6" s="8" t="inlineStr"/>
      <c r="D6" s="8" t="inlineStr"/>
      <c r="E6" s="8" t="inlineStr"/>
      <c r="F6" s="10" t="inlineStr"/>
      <c r="G6" s="11">
        <f>IFERROR(D6*F6,0)</f>
        <v/>
      </c>
      <c r="H6" s="8" t="inlineStr"/>
      <c r="I6" s="8" t="inlineStr"/>
    </row>
    <row r="7">
      <c r="A7" s="3" t="inlineStr">
        <is>
          <t>A. 기획·PM</t>
        </is>
      </c>
      <c r="B7" s="4" t="inlineStr">
        <is>
          <t>진행 시나리오·큐시트</t>
        </is>
      </c>
      <c r="C7" s="8" t="inlineStr"/>
      <c r="D7" s="8" t="inlineStr"/>
      <c r="E7" s="8" t="inlineStr"/>
      <c r="F7" s="10" t="inlineStr"/>
      <c r="G7" s="11">
        <f>IFERROR(D7*F7,0)</f>
        <v/>
      </c>
      <c r="H7" s="8" t="inlineStr"/>
      <c r="I7" s="8" t="inlineStr"/>
    </row>
    <row r="8">
      <c r="A8" s="3" t="inlineStr">
        <is>
          <t>B. 무대·AV</t>
        </is>
      </c>
      <c r="B8" s="4" t="inlineStr">
        <is>
          <t>무대 디자인·제작</t>
        </is>
      </c>
      <c r="C8" s="8" t="inlineStr"/>
      <c r="D8" s="8" t="inlineStr"/>
      <c r="E8" s="8" t="inlineStr"/>
      <c r="F8" s="10" t="inlineStr"/>
      <c r="G8" s="11">
        <f>IFERROR(D8*F8,0)</f>
        <v/>
      </c>
      <c r="H8" s="8" t="inlineStr"/>
      <c r="I8" s="8" t="inlineStr"/>
    </row>
    <row r="9">
      <c r="A9" s="3" t="inlineStr">
        <is>
          <t>B. 무대·AV</t>
        </is>
      </c>
      <c r="B9" s="4" t="inlineStr">
        <is>
          <t>LED·스크린</t>
        </is>
      </c>
      <c r="C9" s="8" t="inlineStr"/>
      <c r="D9" s="8" t="inlineStr"/>
      <c r="E9" s="8" t="inlineStr"/>
      <c r="F9" s="10" t="inlineStr"/>
      <c r="G9" s="11">
        <f>IFERROR(D9*F9,0)</f>
        <v/>
      </c>
      <c r="H9" s="8" t="inlineStr"/>
      <c r="I9" s="8" t="inlineStr"/>
    </row>
    <row r="10">
      <c r="A10" s="3" t="inlineStr">
        <is>
          <t>B. 무대·AV</t>
        </is>
      </c>
      <c r="B10" s="4" t="inlineStr">
        <is>
          <t>음향</t>
        </is>
      </c>
      <c r="C10" s="8" t="inlineStr"/>
      <c r="D10" s="8" t="inlineStr"/>
      <c r="E10" s="8" t="inlineStr"/>
      <c r="F10" s="10" t="inlineStr"/>
      <c r="G10" s="11">
        <f>IFERROR(D10*F10,0)</f>
        <v/>
      </c>
      <c r="H10" s="8" t="inlineStr"/>
      <c r="I10" s="8" t="inlineStr"/>
    </row>
    <row r="11">
      <c r="A11" s="3" t="inlineStr">
        <is>
          <t>B. 무대·AV</t>
        </is>
      </c>
      <c r="B11" s="4" t="inlineStr">
        <is>
          <t>조명</t>
        </is>
      </c>
      <c r="C11" s="8" t="inlineStr"/>
      <c r="D11" s="8" t="inlineStr"/>
      <c r="E11" s="8" t="inlineStr"/>
      <c r="F11" s="10" t="inlineStr"/>
      <c r="G11" s="11">
        <f>IFERROR(D11*F11,0)</f>
        <v/>
      </c>
      <c r="H11" s="8" t="inlineStr"/>
      <c r="I11" s="8" t="inlineStr"/>
    </row>
    <row r="12">
      <c r="A12" s="3" t="inlineStr">
        <is>
          <t>B. 무대·AV</t>
        </is>
      </c>
      <c r="B12" s="4" t="inlineStr">
        <is>
          <t>Encore 감독비 등 호텔 연동 비용</t>
        </is>
      </c>
      <c r="C12" s="8" t="inlineStr"/>
      <c r="D12" s="8" t="inlineStr"/>
      <c r="E12" s="8" t="inlineStr"/>
      <c r="F12" s="10" t="inlineStr"/>
      <c r="G12" s="11">
        <f>IFERROR(D12*F12,0)</f>
        <v/>
      </c>
      <c r="H12" s="8" t="inlineStr"/>
      <c r="I12" s="8" t="inlineStr"/>
    </row>
    <row r="13">
      <c r="A13" s="3" t="inlineStr">
        <is>
          <t>C. 콘텐츠</t>
        </is>
      </c>
      <c r="B13" s="4" t="inlineStr">
        <is>
          <t>오프닝·브랜드 영상</t>
        </is>
      </c>
      <c r="C13" s="8" t="inlineStr"/>
      <c r="D13" s="8" t="inlineStr"/>
      <c r="E13" s="8" t="inlineStr"/>
      <c r="F13" s="10" t="inlineStr"/>
      <c r="G13" s="11">
        <f>IFERROR(D13*F13,0)</f>
        <v/>
      </c>
      <c r="H13" s="8" t="inlineStr"/>
      <c r="I13" s="8" t="inlineStr"/>
    </row>
    <row r="14">
      <c r="A14" s="3" t="inlineStr">
        <is>
          <t>C. 콘텐츠</t>
        </is>
      </c>
      <c r="B14" s="4" t="inlineStr">
        <is>
          <t>창립 세리머니 연출물</t>
        </is>
      </c>
      <c r="C14" s="8" t="inlineStr"/>
      <c r="D14" s="8" t="inlineStr"/>
      <c r="E14" s="8" t="inlineStr"/>
      <c r="F14" s="10" t="inlineStr"/>
      <c r="G14" s="11">
        <f>IFERROR(D14*F14,0)</f>
        <v/>
      </c>
      <c r="H14" s="8" t="inlineStr"/>
      <c r="I14" s="8" t="inlineStr"/>
    </row>
    <row r="15">
      <c r="A15" s="3" t="inlineStr">
        <is>
          <t>D. 디자인·등록</t>
        </is>
      </c>
      <c r="B15" s="4" t="inlineStr">
        <is>
          <t>키비주얼·디자인</t>
        </is>
      </c>
      <c r="C15" s="8" t="inlineStr"/>
      <c r="D15" s="8" t="inlineStr"/>
      <c r="E15" s="8" t="inlineStr"/>
      <c r="F15" s="10" t="inlineStr"/>
      <c r="G15" s="11">
        <f>IFERROR(D15*F15,0)</f>
        <v/>
      </c>
      <c r="H15" s="8" t="inlineStr"/>
      <c r="I15" s="8" t="inlineStr"/>
    </row>
    <row r="16">
      <c r="A16" s="3" t="inlineStr">
        <is>
          <t>D. 디자인·등록</t>
        </is>
      </c>
      <c r="B16" s="4" t="inlineStr">
        <is>
          <t>초청장·인쇄물</t>
        </is>
      </c>
      <c r="C16" s="8" t="inlineStr"/>
      <c r="D16" s="8" t="inlineStr"/>
      <c r="E16" s="8" t="inlineStr"/>
      <c r="F16" s="10" t="inlineStr"/>
      <c r="G16" s="11">
        <f>IFERROR(D16*F16,0)</f>
        <v/>
      </c>
      <c r="H16" s="8" t="inlineStr"/>
      <c r="I16" s="8" t="inlineStr"/>
    </row>
    <row r="17">
      <c r="A17" s="3" t="inlineStr">
        <is>
          <t>D. 디자인·등록</t>
        </is>
      </c>
      <c r="B17" s="4" t="inlineStr">
        <is>
          <t>사인물·포토존</t>
        </is>
      </c>
      <c r="C17" s="8" t="inlineStr"/>
      <c r="D17" s="8" t="inlineStr"/>
      <c r="E17" s="8" t="inlineStr"/>
      <c r="F17" s="10" t="inlineStr"/>
      <c r="G17" s="11">
        <f>IFERROR(D17*F17,0)</f>
        <v/>
      </c>
      <c r="H17" s="8" t="inlineStr"/>
      <c r="I17" s="8" t="inlineStr"/>
    </row>
    <row r="18">
      <c r="A18" s="3" t="inlineStr">
        <is>
          <t>D. 디자인·등록</t>
        </is>
      </c>
      <c r="B18" s="4" t="inlineStr">
        <is>
          <t>등록·체크인(QR) 운영</t>
        </is>
      </c>
      <c r="C18" s="8" t="inlineStr"/>
      <c r="D18" s="8" t="inlineStr"/>
      <c r="E18" s="8" t="inlineStr"/>
      <c r="F18" s="10" t="inlineStr"/>
      <c r="G18" s="11">
        <f>IFERROR(D18*F18,0)</f>
        <v/>
      </c>
      <c r="H18" s="8" t="inlineStr"/>
      <c r="I18" s="8" t="inlineStr"/>
    </row>
    <row r="19">
      <c r="A19" s="3" t="inlineStr">
        <is>
          <t>E. 출연·프로그램</t>
        </is>
      </c>
      <c r="B19" s="4" t="inlineStr">
        <is>
          <t>MC</t>
        </is>
      </c>
      <c r="C19" s="8" t="inlineStr"/>
      <c r="D19" s="8" t="inlineStr"/>
      <c r="E19" s="8" t="inlineStr"/>
      <c r="F19" s="10" t="inlineStr"/>
      <c r="G19" s="11">
        <f>IFERROR(D19*F19,0)</f>
        <v/>
      </c>
      <c r="H19" s="8" t="inlineStr"/>
      <c r="I19" s="8" t="inlineStr"/>
    </row>
    <row r="20">
      <c r="A20" s="3" t="inlineStr">
        <is>
          <t>E. 출연·프로그램</t>
        </is>
      </c>
      <c r="B20" s="4" t="inlineStr">
        <is>
          <t>공연·출연진</t>
        </is>
      </c>
      <c r="C20" s="8" t="inlineStr"/>
      <c r="D20" s="8" t="inlineStr"/>
      <c r="E20" s="8" t="inlineStr"/>
      <c r="F20" s="10" t="inlineStr"/>
      <c r="G20" s="11">
        <f>IFERROR(D20*F20,0)</f>
        <v/>
      </c>
      <c r="H20" s="8" t="inlineStr"/>
      <c r="I20" s="8" t="inlineStr"/>
    </row>
    <row r="21">
      <c r="A21" s="3" t="inlineStr">
        <is>
          <t>E. 출연·프로그램</t>
        </is>
      </c>
      <c r="B21" s="4" t="inlineStr">
        <is>
          <t>특별 강연 진행·연출 (연사 사례비 제외)</t>
        </is>
      </c>
      <c r="C21" s="8" t="inlineStr"/>
      <c r="D21" s="8" t="inlineStr"/>
      <c r="E21" s="8" t="inlineStr"/>
      <c r="F21" s="10" t="inlineStr"/>
      <c r="G21" s="11">
        <f>IFERROR(D21*F21,0)</f>
        <v/>
      </c>
      <c r="H21" s="8" t="inlineStr"/>
      <c r="I21" s="8" t="inlineStr"/>
    </row>
    <row r="22">
      <c r="A22" s="3" t="inlineStr">
        <is>
          <t>F. 의전·인력</t>
        </is>
      </c>
      <c r="B22" s="4" t="inlineStr">
        <is>
          <t>VIP 리셉션·의전</t>
        </is>
      </c>
      <c r="C22" s="8" t="inlineStr"/>
      <c r="D22" s="8" t="inlineStr"/>
      <c r="E22" s="8" t="inlineStr"/>
      <c r="F22" s="10" t="inlineStr"/>
      <c r="G22" s="11">
        <f>IFERROR(D22*F22,0)</f>
        <v/>
      </c>
      <c r="H22" s="8" t="inlineStr"/>
      <c r="I22" s="8" t="inlineStr"/>
    </row>
    <row r="23">
      <c r="A23" s="3" t="inlineStr">
        <is>
          <t>F. 의전·인력</t>
        </is>
      </c>
      <c r="B23" s="4" t="inlineStr">
        <is>
          <t>현장 운영 인력</t>
        </is>
      </c>
      <c r="C23" s="8" t="inlineStr"/>
      <c r="D23" s="8" t="inlineStr"/>
      <c r="E23" s="8" t="inlineStr"/>
      <c r="F23" s="10" t="inlineStr"/>
      <c r="G23" s="11">
        <f>IFERROR(D23*F23,0)</f>
        <v/>
      </c>
      <c r="H23" s="8" t="inlineStr"/>
      <c r="I23" s="8" t="inlineStr"/>
    </row>
    <row r="24">
      <c r="A24" s="3" t="inlineStr">
        <is>
          <t>F. 의전·인력</t>
        </is>
      </c>
      <c r="B24" s="4" t="inlineStr">
        <is>
          <t>안전·물류</t>
        </is>
      </c>
      <c r="C24" s="8" t="inlineStr"/>
      <c r="D24" s="8" t="inlineStr"/>
      <c r="E24" s="8" t="inlineStr"/>
      <c r="F24" s="10" t="inlineStr"/>
      <c r="G24" s="11">
        <f>IFERROR(D24*F24,0)</f>
        <v/>
      </c>
      <c r="H24" s="8" t="inlineStr"/>
      <c r="I24" s="8" t="inlineStr"/>
    </row>
    <row r="25">
      <c r="A25" s="3" t="inlineStr">
        <is>
          <t>G. 기록</t>
        </is>
      </c>
      <c r="B25" s="4" t="inlineStr">
        <is>
          <t>사진 촬영</t>
        </is>
      </c>
      <c r="C25" s="8" t="inlineStr"/>
      <c r="D25" s="8" t="inlineStr"/>
      <c r="E25" s="8" t="inlineStr"/>
      <c r="F25" s="10" t="inlineStr"/>
      <c r="G25" s="11">
        <f>IFERROR(D25*F25,0)</f>
        <v/>
      </c>
      <c r="H25" s="8" t="inlineStr"/>
      <c r="I25" s="8" t="inlineStr"/>
    </row>
    <row r="26">
      <c r="A26" s="3" t="inlineStr">
        <is>
          <t>G. 기록</t>
        </is>
      </c>
      <c r="B26" s="4" t="inlineStr">
        <is>
          <t>영상 기록·편집</t>
        </is>
      </c>
      <c r="C26" s="8" t="inlineStr"/>
      <c r="D26" s="8" t="inlineStr"/>
      <c r="E26" s="8" t="inlineStr"/>
      <c r="F26" s="10" t="inlineStr"/>
      <c r="G26" s="11">
        <f>IFERROR(D26*F26,0)</f>
        <v/>
      </c>
      <c r="H26" s="8" t="inlineStr"/>
      <c r="I26" s="8" t="inlineStr"/>
    </row>
    <row r="27">
      <c r="A27" s="3" t="inlineStr">
        <is>
          <t>H. 기타</t>
        </is>
      </c>
      <c r="B27" s="4" t="inlineStr">
        <is>
          <t>기타 1</t>
        </is>
      </c>
      <c r="C27" s="8" t="inlineStr"/>
      <c r="D27" s="8" t="inlineStr"/>
      <c r="E27" s="8" t="inlineStr"/>
      <c r="F27" s="10" t="inlineStr"/>
      <c r="G27" s="11">
        <f>IFERROR(D27*F27,0)</f>
        <v/>
      </c>
      <c r="H27" s="8" t="inlineStr"/>
      <c r="I27" s="8" t="inlineStr"/>
    </row>
    <row r="28">
      <c r="A28" s="3" t="inlineStr">
        <is>
          <t>H. 기타</t>
        </is>
      </c>
      <c r="B28" s="4" t="inlineStr">
        <is>
          <t>기타 2</t>
        </is>
      </c>
      <c r="C28" s="8" t="inlineStr"/>
      <c r="D28" s="8" t="inlineStr"/>
      <c r="E28" s="8" t="inlineStr"/>
      <c r="F28" s="10" t="inlineStr"/>
      <c r="G28" s="11">
        <f>IFERROR(D28*F28,0)</f>
        <v/>
      </c>
      <c r="H28" s="8" t="inlineStr"/>
      <c r="I28" s="8" t="inlineStr"/>
    </row>
    <row r="30">
      <c r="A30" s="12" t="inlineStr">
        <is>
          <t>소계 (공급가액)</t>
        </is>
      </c>
      <c r="G30" s="13">
        <f>SUM(G5:G28)</f>
        <v/>
      </c>
    </row>
    <row r="31">
      <c r="A31" s="12" t="inlineStr">
        <is>
          <t xml:space="preserve">  └ 기획·PM비 (A)</t>
        </is>
      </c>
      <c r="G31" s="13">
        <f>SUMIF(A5:A28,"A. 기획·PM",G5:G28)</f>
        <v/>
      </c>
    </row>
    <row r="32">
      <c r="A32" s="12" t="inlineStr">
        <is>
          <t xml:space="preserve">  └ 외주 제작·운영비</t>
        </is>
      </c>
      <c r="G32" s="13">
        <f>SUMIF(I5:I28,"외주",G5:G28)</f>
        <v/>
      </c>
    </row>
    <row r="33">
      <c r="A33" s="12" t="inlineStr">
        <is>
          <t>대행 관리비·수수료 (%)</t>
        </is>
      </c>
      <c r="G33" s="14" t="n"/>
    </row>
    <row r="34">
      <c r="A34" s="12" t="inlineStr">
        <is>
          <t>대행 관리비·수수료 (금액)</t>
        </is>
      </c>
      <c r="G34" s="13">
        <f>ROUND(G30*G33,0)</f>
        <v/>
      </c>
    </row>
    <row r="35">
      <c r="A35" s="12" t="inlineStr">
        <is>
          <t>공급가액 합계</t>
        </is>
      </c>
      <c r="G35" s="13">
        <f>G30+G34</f>
        <v/>
      </c>
    </row>
    <row r="36">
      <c r="A36" s="12" t="inlineStr">
        <is>
          <t>부가세 (10%)</t>
        </is>
      </c>
      <c r="G36" s="13">
        <f>ROUND(G35*0.1,0)</f>
        <v/>
      </c>
    </row>
    <row r="37">
      <c r="A37" s="12" t="inlineStr">
        <is>
          <t>총액 (부가세 포함)</t>
        </is>
      </c>
      <c r="G37" s="15">
        <f>G35+G36</f>
        <v/>
      </c>
    </row>
    <row r="38">
      <c r="A38" s="12" t="inlineStr">
        <is>
          <t xml:space="preserve">  └ 필수 항목만 (부가세 포함)</t>
        </is>
      </c>
      <c r="G38" s="13">
        <f>ROUND(SUMIF(H5:H28,"필수",G5:G28)*(1+G33)*1.1,0)</f>
        <v/>
      </c>
    </row>
  </sheetData>
  <mergeCells count="11">
    <mergeCell ref="A38:F38"/>
    <mergeCell ref="A33:F33"/>
    <mergeCell ref="A2:I2"/>
    <mergeCell ref="A36:F36"/>
    <mergeCell ref="A37:F37"/>
    <mergeCell ref="A32:F32"/>
    <mergeCell ref="A1:I1"/>
    <mergeCell ref="A31:F31"/>
    <mergeCell ref="A34:F34"/>
    <mergeCell ref="A35:F35"/>
    <mergeCell ref="A30:F30"/>
  </mergeCells>
  <dataValidations count="2">
    <dataValidation sqref="H5:H28" showDropDown="0" showInputMessage="0" showErrorMessage="0" allowBlank="1" type="list">
      <formula1>"필수,선택"</formula1>
    </dataValidation>
    <dataValidation sqref="I5:I28" showDropDown="0" showInputMessage="0" showErrorMessage="0" allowBlank="1" type="list">
      <formula1>"직접,외주"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0" customWidth="1" min="3" max="3"/>
    <col width="36" customWidth="1" min="4" max="4"/>
    <col width="18" customWidth="1" min="5" max="5"/>
  </cols>
  <sheetData>
    <row r="1" ht="30" customHeight="1">
      <c r="A1" s="1" t="inlineStr">
        <is>
          <t>6. 인원 증감 및 선택 옵션</t>
        </is>
      </c>
    </row>
    <row r="2" ht="30" customHeight="1">
      <c r="A2" s="2" t="inlineStr">
        <is>
          <t>700명 기준 견적(시트 5) 대비 증감액. 부가세 포함 기준.</t>
        </is>
      </c>
    </row>
    <row r="4">
      <c r="A4" s="5" t="inlineStr">
        <is>
          <t>시나리오</t>
        </is>
      </c>
      <c r="B4" s="5" t="inlineStr">
        <is>
          <t>총액(부가세 포함, 원)</t>
        </is>
      </c>
      <c r="C4" s="5" t="inlineStr">
        <is>
          <t>700명 대비 증감(원)</t>
        </is>
      </c>
      <c r="D4" s="5" t="inlineStr">
        <is>
          <t>증감 사유(주요 항목)</t>
        </is>
      </c>
      <c r="E4" s="5" t="inlineStr">
        <is>
          <t>비고</t>
        </is>
      </c>
    </row>
    <row r="5" ht="24" customHeight="1">
      <c r="A5" s="3" t="inlineStr">
        <is>
          <t>600명</t>
        </is>
      </c>
      <c r="B5" s="16" t="n"/>
      <c r="C5" s="11">
        <f>IF(B5="","",B5-$B$6)</f>
        <v/>
      </c>
      <c r="D5" s="8" t="inlineStr"/>
      <c r="E5" s="8" t="inlineStr"/>
    </row>
    <row r="6" ht="24" customHeight="1">
      <c r="A6" s="3" t="inlineStr">
        <is>
          <t>700명 (기준)</t>
        </is>
      </c>
      <c r="B6" s="11">
        <f>'5 견적(700명)'!G37</f>
        <v/>
      </c>
      <c r="C6" s="11">
        <f>IF(B6="","",B6-$B$6)</f>
        <v/>
      </c>
      <c r="D6" s="8" t="inlineStr"/>
      <c r="E6" s="8" t="inlineStr"/>
    </row>
    <row r="7" ht="24" customHeight="1">
      <c r="A7" s="3" t="inlineStr">
        <is>
          <t>800명</t>
        </is>
      </c>
      <c r="B7" s="16" t="n"/>
      <c r="C7" s="11">
        <f>IF(B7="","",B7-$B$6)</f>
        <v/>
      </c>
      <c r="D7" s="8" t="inlineStr"/>
      <c r="E7" s="8" t="inlineStr"/>
    </row>
    <row r="10">
      <c r="A10" s="5" t="inlineStr">
        <is>
          <t>선택 옵션</t>
        </is>
      </c>
      <c r="B10" s="5" t="inlineStr">
        <is>
          <t>금액(부가세 포함, 원)</t>
        </is>
      </c>
      <c r="C10" s="5" t="inlineStr">
        <is>
          <t>효과·필요성</t>
        </is>
      </c>
    </row>
    <row r="11">
      <c r="A11" s="8" t="inlineStr"/>
      <c r="B11" s="10" t="inlineStr"/>
      <c r="C11" s="8" t="inlineStr"/>
    </row>
    <row r="12">
      <c r="A12" s="8" t="inlineStr"/>
      <c r="B12" s="10" t="inlineStr"/>
      <c r="C12" s="8" t="inlineStr"/>
    </row>
    <row r="13">
      <c r="A13" s="8" t="inlineStr"/>
      <c r="B13" s="10" t="inlineStr"/>
      <c r="C13" s="8" t="inlineStr"/>
    </row>
    <row r="14">
      <c r="A14" s="8" t="inlineStr"/>
      <c r="B14" s="10" t="inlineStr"/>
      <c r="C14" s="8" t="inlineStr"/>
    </row>
    <row r="15">
      <c r="A15" s="8" t="inlineStr"/>
      <c r="B15" s="10" t="inlineStr"/>
      <c r="C15" s="8" t="inlineStr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2026-10-20T05:44:58Z</dcterms:created>
  <dcterms:modified xmlns:dcterms="http://purl.org/dc/terms/" xmlns:xsi="http://www.w3.org/2001/XMLSchema-instance" xsi:type="dcterms:W3CDTF">2026-10-20T05:44:58Z</dcterms:modified>
</cp:coreProperties>
</file>