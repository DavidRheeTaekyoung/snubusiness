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작성안내" sheetId="1" state="visible" r:id="rId1"/>
    <sheet xmlns:r="http://schemas.openxmlformats.org/officeDocument/2006/relationships" name="1 참여의사·담당자" sheetId="2" state="visible" r:id="rId2"/>
    <sheet xmlns:r="http://schemas.openxmlformats.org/officeDocument/2006/relationships" name="2 수행실적" sheetId="3" state="visible" r:id="rId3"/>
    <sheet xmlns:r="http://schemas.openxmlformats.org/officeDocument/2006/relationships" name="3 투입인력" sheetId="4" state="visible" r:id="rId4"/>
    <sheet xmlns:r="http://schemas.openxmlformats.org/officeDocument/2006/relationships" name="4 역량·조건" sheetId="5" state="visible" r:id="rId5"/>
    <sheet xmlns:r="http://schemas.openxmlformats.org/officeDocument/2006/relationships" name="5 견적(700명)" sheetId="6" state="visible" r:id="rId6"/>
    <sheet xmlns:r="http://schemas.openxmlformats.org/officeDocument/2006/relationships" name="6 인원 증감" sheetId="7" state="visible" r:id="rId7"/>
    <sheet xmlns:r="http://schemas.openxmlformats.org/officeDocument/2006/relationships" name="7 예산 내 차별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6B6259"/>
      <sz val="9"/>
    </font>
    <font>
      <name val="맑은 고딕"/>
      <b val="1"/>
      <color rgb="001F1A17"/>
      <sz val="10"/>
    </font>
    <font>
      <name val="맑은 고딕"/>
      <color rgb="001F1A17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3A0A14"/>
      </patternFill>
    </fill>
    <fill>
      <patternFill patternType="solid">
        <fgColor rgb="00F7F4EE"/>
      </patternFill>
    </fill>
    <fill>
      <patternFill patternType="solid">
        <fgColor rgb="005C1424"/>
      </patternFill>
    </fill>
    <fill>
      <patternFill patternType="solid">
        <fgColor rgb="00FFF8E1"/>
      </patternFill>
    </fill>
    <fill>
      <patternFill patternType="solid">
        <fgColor rgb="00EEF2F8"/>
      </patternFill>
    </fill>
    <fill>
      <patternFill patternType="solid">
        <fgColor rgb="00F3E2E7"/>
      </patternFill>
    </fill>
  </fills>
  <borders count="6">
    <border>
      <left/>
      <right/>
      <top/>
      <bottom/>
      <diagonal/>
    </border>
    <border>
      <left style="thin">
        <color rgb="00D9CFBE"/>
      </left>
      <right style="thin">
        <color rgb="00D9CFBE"/>
      </right>
      <top style="thin">
        <color rgb="00D9CFBE"/>
      </top>
      <bottom style="thin">
        <color rgb="00D9CFBE"/>
      </bottom>
    </border>
    <border>
      <left/>
      <right/>
      <top style="thin">
        <color rgb="00D9CFBE"/>
      </top>
      <bottom/>
      <diagonal/>
    </border>
    <border>
      <left/>
      <right style="thin">
        <color rgb="00D9CFBE"/>
      </right>
      <top style="thin">
        <color rgb="00D9CFBE"/>
      </top>
      <bottom/>
      <diagonal/>
    </border>
    <border>
      <left/>
      <right/>
      <top style="thin">
        <color rgb="00D9CFBE"/>
      </top>
      <bottom style="thin">
        <color rgb="00D9CFBE"/>
      </bottom>
      <diagonal/>
    </border>
    <border>
      <left/>
      <right style="thin">
        <color rgb="00D9CFBE"/>
      </right>
      <top style="thin">
        <color rgb="00D9CFBE"/>
      </top>
      <bottom style="thin">
        <color rgb="00D9CFBE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wrapText="1" inden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  <xf numFmtId="3" fontId="3" fillId="0" borderId="1" applyAlignment="1" pivotButton="0" quotePrefix="0" xfId="0">
      <alignment horizontal="right" vertical="center" wrapText="1"/>
    </xf>
    <xf numFmtId="164" fontId="3" fillId="5" borderId="1" applyAlignment="1" pivotButton="0" quotePrefix="0" xfId="0">
      <alignment horizontal="right" vertical="center" wrapText="1"/>
    </xf>
    <xf numFmtId="3" fontId="3" fillId="7" borderId="1" applyAlignment="1" pivotButton="0" quotePrefix="0" xfId="0">
      <alignment horizontal="right" vertical="center" wrapText="1"/>
    </xf>
    <xf numFmtId="49" fontId="3" fillId="0" borderId="1" applyAlignment="1" pivotButton="0" quotePrefix="0" xfId="0">
      <alignment horizontal="right" vertical="center" wrapText="1"/>
    </xf>
    <xf numFmtId="3" fontId="4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1">
    <dxf>
      <fill>
        <patternFill patternType="solid">
          <fgColor rgb="00F8C9C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서울대학교 경영대학 총동문회 2027 창립총회 — 행사 대행 제안 회신 양식</t>
        </is>
      </c>
    </row>
    <row r="2" ht="32" customHeight="1">
      <c r="A2" s="2" t="inlineStr">
        <is>
          <t>2027. 4. 16.(금) 18:00–21:00 · 그랜드 하얏트 서울 Grand Ballroom · 약 700명(600~800명) · 회신: pm@snubusiness.com</t>
        </is>
      </c>
    </row>
    <row r="4" ht="36" customHeight="1">
      <c r="A4" s="3" t="inlineStr">
        <is>
          <t>작성 방법</t>
        </is>
      </c>
      <c r="B4" s="4" t="inlineStr">
        <is>
          <t>노란 칸만 입력해 주십시오. 파일명을 '회신양식_회사명.xlsx'로 저장해 pm@snubusiness.com 으로 보내 주십시오.</t>
        </is>
      </c>
    </row>
    <row r="5" ht="58" customHeight="1">
      <c r="A5" s="3" t="inlineStr">
        <is>
          <t>회신 일정</t>
        </is>
      </c>
      <c r="B5" s="4" t="inlineStr">
        <is>
          <t>① 10월 23일(금) 18:00 — 시트 1 (참여 의사·제안 담당자)
② 11월 6일(금) 18:00 — 제안서 + 이 파일 전체 작성본
③ 11월 둘째 주 — 3~4개사 프레젠테이션 (개별 안내)</t>
        </is>
      </c>
    </row>
    <row r="6" ht="58" customHeight="1">
      <c r="A6" s="3" t="inlineStr">
        <is>
          <t>예산 상한</t>
        </is>
      </c>
      <c r="B6" s="4" t="inlineStr">
        <is>
          <t>부가세 포함 1억 3,000만원 이내 (호텔 식음료 제외). 대행 수수료 총액이 아니라 기획·제작·운영 전체 금액입니다. 견적은 공급가액과 부가세를 구분하고, 부가세 포함 총액으로 비교합니다.</t>
        </is>
      </c>
    </row>
    <row r="7" ht="58" customHeight="1">
      <c r="A7" s="3" t="inlineStr">
        <is>
          <t>가장 중요하게 보는 것</t>
        </is>
      </c>
      <c r="B7" s="4" t="inlineStr">
        <is>
          <t>같은 예산으로 얼마나 품격 있고 인상적으로 보이게 하는가. AI를 활용한 고품질·저비용 영상 제작, 효율적인 무대·LED 구성 등 예산 안에서 시각적 완성도를 높이는 귀사만의 방법을 시트 7에 구체적으로 적어 주십시오.</t>
        </is>
      </c>
    </row>
    <row r="8" ht="36" customHeight="1">
      <c r="A8" s="3" t="inlineStr">
        <is>
          <t>영상</t>
        </is>
      </c>
      <c r="B8" s="4" t="inlineStr">
        <is>
          <t>오프닝·브랜드 영상은 ① 귀사 제작안과 ② 동문회가 직접 제작한 영상을 상영·편집 지원만 하는 경우를 구분해 견적해 주십시오 (시트 5).</t>
        </is>
      </c>
    </row>
    <row r="9" ht="58" customHeight="1">
      <c r="A9" s="3" t="inlineStr">
        <is>
          <t>기념품 · 굿즈</t>
        </is>
      </c>
      <c r="B9" s="4" t="inlineStr">
        <is>
          <t>참석자 기념품은 제작하지 않습니다. 대신 동문회 굿즈를 사전 신청·선입금으로 판매할 계획이며, 굿즈 기획·디자인·제작 방안은 선택 제안으로 받습니다 (시트 5 'I. 굿즈', 행사 예산 상한과 별도).</t>
        </is>
      </c>
    </row>
    <row r="10" ht="36" customHeight="1">
      <c r="A10" s="3" t="inlineStr">
        <is>
          <t>견적 제외</t>
        </is>
      </c>
      <c r="B10" s="4" t="inlineStr">
        <is>
          <t>호텔 식음료, 초청 연사 강연료·여비. 특별 강연 세션의 진행·연출·운영은 포함.</t>
        </is>
      </c>
    </row>
    <row r="11" ht="36" customHeight="1">
      <c r="A11" s="3" t="inlineStr">
        <is>
          <t>사회(MC)</t>
        </is>
      </c>
      <c r="B11" s="4" t="inlineStr">
        <is>
          <t>동문 아나운서 섭외를 검토 중입니다. 전문 MC 포함안은 선택 항목으로, 동문 MC 진행 지원(대본·리허설)은 별도 항목으로 견적해 주십시오.</t>
        </is>
      </c>
    </row>
    <row r="12" ht="58" customHeight="1">
      <c r="A12" s="3" t="inlineStr">
        <is>
          <t>호텔 조건</t>
        </is>
      </c>
      <c r="B12" s="4" t="inlineStr">
        <is>
          <t>행사장 입장·설치는 당일 15:00부터 (조기 설치는 호텔 협의 필요) · 외부 AV 사용 시 호텔 파트너 Encore 지도·감독 및 감독비 발생 가능 (견적에서 구분) · 외부 대행사 정보 행사 60일 전 호텔 서면 통보, 외부 설치물·전기 사전 승인</t>
        </is>
      </c>
    </row>
    <row r="13" ht="58" customHeight="1">
      <c r="A13" s="3" t="inlineStr">
        <is>
          <t>평가 기준 (100점)</t>
        </is>
      </c>
      <c r="B13" s="4" t="inlineStr">
        <is>
          <t>행사 콘셉트·창의성 25 / 유사 행사 실적 20 / 프로그램·스토리텔링 15 / 실제 투입 PM·팀 15 / 등록·VIP·현장 운영 10 / 예산 효율·투명성 10 / 디자인·영상 5</t>
        </is>
      </c>
    </row>
    <row r="14" ht="36" customHeight="1">
      <c r="A14" s="3" t="inlineStr">
        <is>
          <t>문의</t>
        </is>
      </c>
      <c r="B14" s="4" t="inlineStr">
        <is>
          <t>이태경 프로젝트 리더 · pm@snubusiness.com</t>
        </is>
      </c>
    </row>
  </sheetData>
  <mergeCells count="13">
    <mergeCell ref="B4:F4"/>
    <mergeCell ref="A2:F2"/>
    <mergeCell ref="B12:F12"/>
    <mergeCell ref="B7:F7"/>
    <mergeCell ref="B6:F6"/>
    <mergeCell ref="B10:F10"/>
    <mergeCell ref="A1:F1"/>
    <mergeCell ref="B11:F11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1. 참여 의사 · 제안 담당자 — 10월 23일(금) 18:00까지 회신</t>
        </is>
      </c>
    </row>
    <row r="2" ht="32" customHeight="1">
      <c r="A2" s="2" t="inlineStr">
        <is>
          <t>이 시트만 먼저 작성해 회신해 주셔도 됩니다.</t>
        </is>
      </c>
    </row>
    <row r="4">
      <c r="A4" s="5" t="inlineStr">
        <is>
          <t>항목</t>
        </is>
      </c>
      <c r="B4" s="5" t="inlineStr">
        <is>
          <t>회신 내용</t>
        </is>
      </c>
      <c r="C4" s="6" t="n"/>
      <c r="D4" s="7" t="n"/>
    </row>
    <row r="5" ht="24" customHeight="1">
      <c r="A5" s="3" t="inlineStr">
        <is>
          <t>회사명</t>
        </is>
      </c>
      <c r="B5" s="8" t="n"/>
    </row>
    <row r="6" ht="24" customHeight="1">
      <c r="A6" s="3" t="inlineStr">
        <is>
          <t>대표자</t>
        </is>
      </c>
      <c r="B6" s="8" t="n"/>
    </row>
    <row r="7" ht="24" customHeight="1">
      <c r="A7" s="3" t="inlineStr">
        <is>
          <t>설립연도 · 상시 인원(명)</t>
        </is>
      </c>
      <c r="B7" s="8" t="n"/>
    </row>
    <row r="8" ht="24" customHeight="1">
      <c r="A8" s="3" t="inlineStr">
        <is>
          <t>제안 담당자 성함·직책</t>
        </is>
      </c>
      <c r="B8" s="8" t="n"/>
    </row>
    <row r="9" ht="24" customHeight="1">
      <c r="A9" s="3" t="inlineStr">
        <is>
          <t>담당자 직통 / 휴대전화</t>
        </is>
      </c>
      <c r="B9" s="8" t="n"/>
    </row>
    <row r="10" ht="24" customHeight="1">
      <c r="A10" s="3" t="inlineStr">
        <is>
          <t>제안서 수신 이메일</t>
        </is>
      </c>
      <c r="B10" s="8" t="n"/>
    </row>
    <row r="11" ht="24" customHeight="1">
      <c r="A11" s="3" t="inlineStr">
        <is>
          <t>참여 의사 (참여 / 불참 / 검토 중)</t>
        </is>
      </c>
      <c r="B11" s="8" t="n"/>
    </row>
    <row r="12" ht="24" customHeight="1">
      <c r="A12" s="3" t="inlineStr">
        <is>
          <t>2027.4.16(금) 현장 운영 가능 여부</t>
        </is>
      </c>
      <c r="B12" s="8" t="n"/>
    </row>
    <row r="13" ht="24" customHeight="1">
      <c r="A13" s="3" t="inlineStr">
        <is>
          <t>11월 제안·PT 일정 대응 가능 여부</t>
        </is>
      </c>
      <c r="B13" s="8" t="n"/>
    </row>
    <row r="14" ht="24" customHeight="1">
      <c r="A14" s="3" t="inlineStr">
        <is>
          <t>동일 일자 경합 행사 여부</t>
        </is>
      </c>
      <c r="B14" s="8" t="n"/>
    </row>
    <row r="15" ht="24" customHeight="1">
      <c r="A15" s="3" t="inlineStr">
        <is>
          <t>기타 전달 사항</t>
        </is>
      </c>
      <c r="B15" s="8" t="n"/>
    </row>
  </sheetData>
  <mergeCells count="14">
    <mergeCell ref="B10:D10"/>
    <mergeCell ref="A1:D1"/>
    <mergeCell ref="B11:D11"/>
    <mergeCell ref="B5:D5"/>
    <mergeCell ref="B14:D14"/>
    <mergeCell ref="B15:D15"/>
    <mergeCell ref="B8:D8"/>
    <mergeCell ref="B4:D4"/>
    <mergeCell ref="B9:D9"/>
    <mergeCell ref="B13:D13"/>
    <mergeCell ref="A2:D2"/>
    <mergeCell ref="B12:D12"/>
    <mergeCell ref="B7:D7"/>
    <mergeCell ref="B6:D6"/>
  </mergeCells>
  <dataValidations count="2">
    <dataValidation sqref="B11" showDropDown="0" showInputMessage="0" showErrorMessage="0" allowBlank="1" type="list">
      <formula1>"참여,불참,검토 중"</formula1>
    </dataValidation>
    <dataValidation sqref="B12:B13" showDropDown="0" showInputMessage="0" showErrorMessage="0" allowBlank="1" type="list">
      <formula1>"가능,불가,조건부"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16" customWidth="1" min="4" max="4"/>
    <col width="18" customWidth="1" min="5" max="5"/>
    <col width="8" customWidth="1" min="6" max="6"/>
    <col width="26" customWidth="1" min="7" max="7"/>
    <col width="11" customWidth="1" min="8" max="8"/>
    <col width="12" customWidth="1" min="9" max="9"/>
    <col width="12" customWidth="1" min="10" max="10"/>
  </cols>
  <sheetData>
    <row r="1" ht="30" customHeight="1">
      <c r="A1" s="1" t="inlineStr">
        <is>
          <t>2. 최근 5년 유사 행사 수행 실적</t>
        </is>
      </c>
    </row>
    <row r="2" ht="32" customHeight="1">
      <c r="A2" s="2" t="inlineStr">
        <is>
          <t>500~1,000명 규모 호텔 갈라·창립기념식·VIP 만찬 위주 2~5건. 귀사가 직접 수행한 범위를 정확히 기재해 주십시오.</t>
        </is>
      </c>
    </row>
    <row r="4">
      <c r="A4" s="5" t="inlineStr">
        <is>
          <t>No</t>
        </is>
      </c>
      <c r="B4" s="5" t="inlineStr">
        <is>
          <t>연도·월</t>
        </is>
      </c>
      <c r="C4" s="5" t="inlineStr">
        <is>
          <t>행사명</t>
        </is>
      </c>
      <c r="D4" s="5" t="inlineStr">
        <is>
          <t>주최(고객)</t>
        </is>
      </c>
      <c r="E4" s="5" t="inlineStr">
        <is>
          <t>장소</t>
        </is>
      </c>
      <c r="F4" s="5" t="inlineStr">
        <is>
          <t>인원</t>
        </is>
      </c>
      <c r="G4" s="5" t="inlineStr">
        <is>
          <t>수행 범위
(기획/연출/제작/운영/등록/의전)</t>
        </is>
      </c>
      <c r="H4" s="5" t="inlineStr">
        <is>
          <t>직접 vs 외주</t>
        </is>
      </c>
      <c r="I4" s="5" t="inlineStr">
        <is>
          <t>투입 PM</t>
        </is>
      </c>
      <c r="J4" s="5" t="inlineStr">
        <is>
          <t>행사 규모(만원, 선택)</t>
        </is>
      </c>
    </row>
    <row r="5" ht="34" customHeight="1">
      <c r="A5" s="9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 ht="34" customHeight="1">
      <c r="A6" s="9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 ht="34" customHeight="1">
      <c r="A7" s="9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 ht="34" customHeight="1">
      <c r="A8" s="9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 ht="34" customHeight="1">
      <c r="A9" s="9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1">
      <c r="A11" s="3" t="inlineStr">
        <is>
          <t>호텔 경험</t>
        </is>
      </c>
      <c r="B11" s="4" t="inlineStr">
        <is>
          <t>그랜드 하얏트 서울 Grand Ballroom 수행 경험, 호텔 Encore 협의 경험 (행사명·연도)</t>
        </is>
      </c>
    </row>
    <row r="12">
      <c r="A12" s="8" t="n"/>
    </row>
    <row r="13"/>
  </sheetData>
  <mergeCells count="4">
    <mergeCell ref="B11:J11"/>
    <mergeCell ref="A1:J1"/>
    <mergeCell ref="A12:J1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40" customWidth="1" min="4" max="4"/>
    <col width="10" customWidth="1" min="5" max="5"/>
    <col width="14" customWidth="1" min="6" max="6"/>
    <col width="10" customWidth="1" min="7" max="7"/>
  </cols>
  <sheetData>
    <row r="1" ht="30" customHeight="1">
      <c r="A1" s="1" t="inlineStr">
        <is>
          <t>3. 실제 투입 인력</t>
        </is>
      </c>
    </row>
    <row r="2" ht="32" customHeight="1">
      <c r="A2" s="2" t="inlineStr">
        <is>
          <t>제안서에 기재한 인력이 실제 수행해야 하며, 변경 시 사전 협의합니다.</t>
        </is>
      </c>
    </row>
    <row r="4">
      <c r="A4" s="5" t="inlineStr">
        <is>
          <t>역할</t>
        </is>
      </c>
      <c r="B4" s="5" t="inlineStr">
        <is>
          <t>성함</t>
        </is>
      </c>
      <c r="C4" s="5" t="inlineStr">
        <is>
          <t>직책·경력(년)</t>
        </is>
      </c>
      <c r="D4" s="5" t="inlineStr">
        <is>
          <t>대표 실적 (행사명·연도·규모)</t>
        </is>
      </c>
      <c r="E4" s="5" t="inlineStr">
        <is>
          <t>투입률(%)</t>
        </is>
      </c>
      <c r="F4" s="5" t="inlineStr">
        <is>
          <t>동시 진행 프로젝트 수</t>
        </is>
      </c>
      <c r="G4" s="5" t="inlineStr">
        <is>
          <t>사내/외주</t>
        </is>
      </c>
    </row>
    <row r="5" ht="30" customHeight="1">
      <c r="A5" s="3" t="inlineStr">
        <is>
          <t>총괄 PM</t>
        </is>
      </c>
      <c r="B5" s="8" t="n"/>
      <c r="C5" s="8" t="n"/>
      <c r="D5" s="8" t="n"/>
      <c r="E5" s="8" t="n"/>
      <c r="F5" s="8" t="n"/>
      <c r="G5" s="8" t="n"/>
    </row>
    <row r="6" ht="30" customHeight="1">
      <c r="A6" s="3" t="inlineStr">
        <is>
          <t>크리에이티브 디렉터</t>
        </is>
      </c>
      <c r="B6" s="8" t="n"/>
      <c r="C6" s="8" t="n"/>
      <c r="D6" s="8" t="n"/>
      <c r="E6" s="8" t="n"/>
      <c r="F6" s="8" t="n"/>
      <c r="G6" s="8" t="n"/>
    </row>
    <row r="7" ht="30" customHeight="1">
      <c r="A7" s="3" t="inlineStr">
        <is>
          <t>현장 운영 책임</t>
        </is>
      </c>
      <c r="B7" s="8" t="n"/>
      <c r="C7" s="8" t="n"/>
      <c r="D7" s="8" t="n"/>
      <c r="E7" s="8" t="n"/>
      <c r="F7" s="8" t="n"/>
      <c r="G7" s="8" t="n"/>
    </row>
    <row r="8" ht="30" customHeight="1">
      <c r="A8" s="3" t="inlineStr">
        <is>
          <t>무대·AV 책임</t>
        </is>
      </c>
      <c r="B8" s="8" t="n"/>
      <c r="C8" s="8" t="n"/>
      <c r="D8" s="8" t="n"/>
      <c r="E8" s="8" t="n"/>
      <c r="F8" s="8" t="n"/>
      <c r="G8" s="8" t="n"/>
    </row>
    <row r="9" ht="30" customHeight="1">
      <c r="A9" s="3" t="inlineStr">
        <is>
          <t>영상·디자인 책임</t>
        </is>
      </c>
      <c r="B9" s="8" t="n"/>
      <c r="C9" s="8" t="n"/>
      <c r="D9" s="8" t="n"/>
      <c r="E9" s="8" t="n"/>
      <c r="F9" s="8" t="n"/>
      <c r="G9" s="8" t="n"/>
    </row>
    <row r="10" ht="30" customHeight="1">
      <c r="A10" s="3" t="inlineStr">
        <is>
          <t>등록·VIP 의전 책임</t>
        </is>
      </c>
      <c r="B10" s="8" t="n"/>
      <c r="C10" s="8" t="n"/>
      <c r="D10" s="8" t="n"/>
      <c r="E10" s="8" t="n"/>
      <c r="F10" s="8" t="n"/>
      <c r="G10" s="8" t="n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48" customWidth="1" min="3" max="3"/>
    <col width="10" customWidth="1" min="4" max="4"/>
  </cols>
  <sheetData>
    <row r="1" ht="30" customHeight="1">
      <c r="A1" s="1" t="inlineStr">
        <is>
          <t>4. 운영 역량 및 필수 조건</t>
        </is>
      </c>
    </row>
    <row r="2" ht="32" customHeight="1">
      <c r="A2" s="2" t="inlineStr">
        <is>
          <t>서술은 간단히, 상세는 제안서에 기재해 주십시오.</t>
        </is>
      </c>
    </row>
    <row r="4">
      <c r="A4" s="5" t="inlineStr">
        <is>
          <t>구분</t>
        </is>
      </c>
      <c r="B4" s="5" t="inlineStr">
        <is>
          <t>질문</t>
        </is>
      </c>
      <c r="C4" s="5" t="inlineStr">
        <is>
          <t>답변</t>
        </is>
      </c>
      <c r="D4" s="5" t="inlineStr">
        <is>
          <t>제안서 쪽</t>
        </is>
      </c>
    </row>
    <row r="5" ht="42" customHeight="1">
      <c r="A5" s="3" t="inlineStr">
        <is>
          <t>프로그램</t>
        </is>
      </c>
      <c r="B5" s="4" t="inlineStr">
        <is>
          <t>창립총회 의결·만찬·특별 강연·창립 세리머니·네트워킹을 18:00–21:00 안에 어떻게 배분하는가 (분 단위 개요)</t>
        </is>
      </c>
      <c r="C5" s="8" t="n"/>
      <c r="D5" s="8" t="n"/>
    </row>
    <row r="6" ht="42" customHeight="1">
      <c r="A6" s="3" t="inlineStr">
        <is>
          <t>프로그램</t>
        </is>
      </c>
      <c r="B6" s="4" t="inlineStr">
        <is>
          <t>창립 메시지를 드러내는 오프닝·세리머니 핵심 아이디어 1~2개</t>
        </is>
      </c>
      <c r="C6" s="8" t="n"/>
      <c r="D6" s="8" t="n"/>
    </row>
    <row r="7" ht="42" customHeight="1">
      <c r="A7" s="3" t="inlineStr">
        <is>
          <t>제작</t>
        </is>
      </c>
      <c r="B7" s="4" t="inlineStr">
        <is>
          <t>무대·AV·영상·디자인 중 사내 제작과 외주 항목 구분 (외주 파트너명)</t>
        </is>
      </c>
      <c r="C7" s="8" t="n"/>
      <c r="D7" s="8" t="n"/>
    </row>
    <row r="8" ht="42" customHeight="1">
      <c r="A8" s="3" t="inlineStr">
        <is>
          <t>호텔</t>
        </is>
      </c>
      <c r="B8" s="4" t="inlineStr">
        <is>
          <t>15:00 셋업 조건에서 무대 설치·리허설 시간 확보 방안</t>
        </is>
      </c>
      <c r="C8" s="8" t="n"/>
      <c r="D8" s="8" t="n"/>
    </row>
    <row r="9" ht="42" customHeight="1">
      <c r="A9" s="3" t="inlineStr">
        <is>
          <t>호텔</t>
        </is>
      </c>
      <c r="B9" s="4" t="inlineStr">
        <is>
          <t>Encore 감독비 등 호텔 관련 외부 비용의 예상 규모와 견적 반영 방식</t>
        </is>
      </c>
      <c r="C9" s="8" t="n"/>
      <c r="D9" s="8" t="n"/>
    </row>
    <row r="10" ht="42" customHeight="1">
      <c r="A10" s="3" t="inlineStr">
        <is>
          <t>등록</t>
        </is>
      </c>
      <c r="B10" s="4" t="inlineStr">
        <is>
          <t>동문회 홈페이지(snubusiness.com) RSVP·QR 등록 연계 방식, 참석자 개인정보 처리</t>
        </is>
      </c>
      <c r="C10" s="8" t="n"/>
      <c r="D10" s="8" t="n"/>
    </row>
    <row r="11" ht="42" customHeight="1">
      <c r="A11" s="3" t="inlineStr">
        <is>
          <t>현장</t>
        </is>
      </c>
      <c r="B11" s="4" t="inlineStr">
        <is>
          <t>VIP 의전·좌석·동선 및 안전 관리 개요</t>
        </is>
      </c>
      <c r="C11" s="8" t="n"/>
      <c r="D11" s="8" t="n"/>
    </row>
    <row r="12" ht="42" customHeight="1">
      <c r="A12" s="3" t="inlineStr">
        <is>
          <t>필수 동의</t>
        </is>
      </c>
      <c r="B12" s="4" t="inlineStr">
        <is>
          <t>행사 60일 전 호텔 서면 통보 및 외부 설치물·전기 사전 승인 이행</t>
        </is>
      </c>
      <c r="C12" s="8" t="n"/>
      <c r="D12" s="8" t="n"/>
    </row>
    <row r="13" ht="42" customHeight="1">
      <c r="A13" s="3" t="inlineStr">
        <is>
          <t>필수 동의</t>
        </is>
      </c>
      <c r="B13" s="4" t="inlineStr">
        <is>
          <t>제안서 기재 핵심 인력의 실제 투입 확약</t>
        </is>
      </c>
      <c r="C13" s="8" t="n"/>
      <c r="D13" s="8" t="n"/>
    </row>
    <row r="14" ht="42" customHeight="1">
      <c r="A14" s="3" t="inlineStr">
        <is>
          <t>필수 동의</t>
        </is>
      </c>
      <c r="B14" s="4" t="inlineStr">
        <is>
          <t>부가세 포함 1억 3,000만원 상한 내 필수안 제출</t>
        </is>
      </c>
      <c r="C14" s="8" t="n"/>
      <c r="D14" s="8" t="n"/>
    </row>
  </sheetData>
  <mergeCells count="2">
    <mergeCell ref="A1:D1"/>
    <mergeCell ref="A2:D2"/>
  </mergeCells>
  <dataValidations count="1">
    <dataValidation sqref="C12:C14" showDropDown="0" showInputMessage="0" showErrorMessage="0" allowBlank="1" type="list">
      <formula1>"동의,협의 필요"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28" customWidth="1" min="3" max="3"/>
    <col width="7" customWidth="1" min="4" max="4"/>
    <col width="7" customWidth="1" min="5" max="5"/>
    <col width="13" customWidth="1" min="6" max="6"/>
    <col width="16" customWidth="1" min="7" max="7"/>
    <col width="10" customWidth="1" min="8" max="8"/>
    <col width="9" customWidth="1" min="9" max="9"/>
  </cols>
  <sheetData>
    <row r="1" ht="30" customHeight="1">
      <c r="A1" s="1" t="inlineStr">
        <is>
          <t>5. 견적 — 700명 기준 (단위: 원)</t>
        </is>
      </c>
    </row>
    <row r="2" ht="32" customHeight="1">
      <c r="A2" s="2" t="inlineStr">
        <is>
          <t>수량×단가를 입력하면 금액이 자동 계산됩니다. '필수/선택'으로 조정 가능 항목을 표시해 주십시오. 'I. 굿즈'는 별도 판매용이라 행사 예산 상한과 따로 집계합니다.</t>
        </is>
      </c>
    </row>
    <row r="4">
      <c r="A4" s="5" t="inlineStr">
        <is>
          <t>구분</t>
        </is>
      </c>
      <c r="B4" s="5" t="inlineStr">
        <is>
          <t>항목</t>
        </is>
      </c>
      <c r="C4" s="5" t="inlineStr">
        <is>
          <t>세부 내용·사양</t>
        </is>
      </c>
      <c r="D4" s="5" t="inlineStr">
        <is>
          <t>수량</t>
        </is>
      </c>
      <c r="E4" s="5" t="inlineStr">
        <is>
          <t>단위</t>
        </is>
      </c>
      <c r="F4" s="5" t="inlineStr">
        <is>
          <t>단가(원)</t>
        </is>
      </c>
      <c r="G4" s="5" t="inlineStr">
        <is>
          <t>금액(원)</t>
        </is>
      </c>
      <c r="H4" s="5" t="inlineStr">
        <is>
          <t>필수/선택</t>
        </is>
      </c>
      <c r="I4" s="5" t="inlineStr">
        <is>
          <t>사내/외주</t>
        </is>
      </c>
    </row>
    <row r="5" ht="26" customHeight="1">
      <c r="A5" s="3" t="inlineStr">
        <is>
          <t>A. 기획·PM</t>
        </is>
      </c>
      <c r="B5" s="4" t="inlineStr">
        <is>
          <t>총괄 기획·연출</t>
        </is>
      </c>
      <c r="C5" s="8" t="n"/>
      <c r="D5" s="8" t="n"/>
      <c r="E5" s="8" t="n"/>
      <c r="F5" s="10" t="n"/>
      <c r="G5" s="11">
        <f>IFERROR(D5*F5,0)</f>
        <v/>
      </c>
      <c r="H5" s="8" t="n"/>
      <c r="I5" s="8" t="n"/>
    </row>
    <row r="6" ht="26" customHeight="1">
      <c r="A6" s="3" t="inlineStr">
        <is>
          <t>A. 기획·PM</t>
        </is>
      </c>
      <c r="B6" s="4" t="inlineStr">
        <is>
          <t>프로젝트 관리(PM)</t>
        </is>
      </c>
      <c r="C6" s="8" t="n"/>
      <c r="D6" s="8" t="n"/>
      <c r="E6" s="8" t="n"/>
      <c r="F6" s="10" t="n"/>
      <c r="G6" s="11">
        <f>IFERROR(D6*F6,0)</f>
        <v/>
      </c>
      <c r="H6" s="8" t="n"/>
      <c r="I6" s="8" t="n"/>
    </row>
    <row r="7" ht="26" customHeight="1">
      <c r="A7" s="3" t="inlineStr">
        <is>
          <t>A. 기획·PM</t>
        </is>
      </c>
      <c r="B7" s="4" t="inlineStr">
        <is>
          <t>진행 시나리오·큐시트</t>
        </is>
      </c>
      <c r="C7" s="8" t="n"/>
      <c r="D7" s="8" t="n"/>
      <c r="E7" s="8" t="n"/>
      <c r="F7" s="10" t="n"/>
      <c r="G7" s="11">
        <f>IFERROR(D7*F7,0)</f>
        <v/>
      </c>
      <c r="H7" s="8" t="n"/>
      <c r="I7" s="8" t="n"/>
    </row>
    <row r="8" ht="26" customHeight="1">
      <c r="A8" s="3" t="inlineStr">
        <is>
          <t>B. 무대·AV</t>
        </is>
      </c>
      <c r="B8" s="4" t="inlineStr">
        <is>
          <t>무대 디자인·제작</t>
        </is>
      </c>
      <c r="C8" s="8" t="n"/>
      <c r="D8" s="8" t="n"/>
      <c r="E8" s="8" t="n"/>
      <c r="F8" s="10" t="n"/>
      <c r="G8" s="11">
        <f>IFERROR(D8*F8,0)</f>
        <v/>
      </c>
      <c r="H8" s="8" t="n"/>
      <c r="I8" s="8" t="n"/>
    </row>
    <row r="9" ht="26" customHeight="1">
      <c r="A9" s="3" t="inlineStr">
        <is>
          <t>B. 무대·AV</t>
        </is>
      </c>
      <c r="B9" s="4" t="inlineStr">
        <is>
          <t>LED·스크린</t>
        </is>
      </c>
      <c r="C9" s="8" t="n"/>
      <c r="D9" s="8" t="n"/>
      <c r="E9" s="8" t="n"/>
      <c r="F9" s="10" t="n"/>
      <c r="G9" s="11">
        <f>IFERROR(D9*F9,0)</f>
        <v/>
      </c>
      <c r="H9" s="8" t="n"/>
      <c r="I9" s="8" t="n"/>
    </row>
    <row r="10" ht="26" customHeight="1">
      <c r="A10" s="3" t="inlineStr">
        <is>
          <t>B. 무대·AV</t>
        </is>
      </c>
      <c r="B10" s="4" t="inlineStr">
        <is>
          <t>음향</t>
        </is>
      </c>
      <c r="C10" s="8" t="n"/>
      <c r="D10" s="8" t="n"/>
      <c r="E10" s="8" t="n"/>
      <c r="F10" s="10" t="n"/>
      <c r="G10" s="11">
        <f>IFERROR(D10*F10,0)</f>
        <v/>
      </c>
      <c r="H10" s="8" t="n"/>
      <c r="I10" s="8" t="n"/>
    </row>
    <row r="11" ht="26" customHeight="1">
      <c r="A11" s="3" t="inlineStr">
        <is>
          <t>B. 무대·AV</t>
        </is>
      </c>
      <c r="B11" s="4" t="inlineStr">
        <is>
          <t>조명</t>
        </is>
      </c>
      <c r="C11" s="8" t="n"/>
      <c r="D11" s="8" t="n"/>
      <c r="E11" s="8" t="n"/>
      <c r="F11" s="10" t="n"/>
      <c r="G11" s="11">
        <f>IFERROR(D11*F11,0)</f>
        <v/>
      </c>
      <c r="H11" s="8" t="n"/>
      <c r="I11" s="8" t="n"/>
    </row>
    <row r="12" ht="26" customHeight="1">
      <c r="A12" s="3" t="inlineStr">
        <is>
          <t>B. 무대·AV</t>
        </is>
      </c>
      <c r="B12" s="4" t="inlineStr">
        <is>
          <t>Encore 감독비 등 호텔 연동 비용</t>
        </is>
      </c>
      <c r="C12" s="8" t="n"/>
      <c r="D12" s="8" t="n"/>
      <c r="E12" s="8" t="n"/>
      <c r="F12" s="10" t="n"/>
      <c r="G12" s="11">
        <f>IFERROR(D12*F12,0)</f>
        <v/>
      </c>
      <c r="H12" s="8" t="n"/>
      <c r="I12" s="8" t="n"/>
    </row>
    <row r="13" ht="26" customHeight="1">
      <c r="A13" s="3" t="inlineStr">
        <is>
          <t>C. 영상</t>
        </is>
      </c>
      <c r="B13" s="4" t="inlineStr">
        <is>
          <t>오프닝·브랜드 영상 — 귀사 제작안 (AI 활용 등 제작 방식 기재)</t>
        </is>
      </c>
      <c r="C13" s="8" t="n"/>
      <c r="D13" s="8" t="n"/>
      <c r="E13" s="8" t="n"/>
      <c r="F13" s="10" t="n"/>
      <c r="G13" s="11">
        <f>IFERROR(D13*F13,0)</f>
        <v/>
      </c>
      <c r="H13" s="8" t="n"/>
      <c r="I13" s="8" t="n"/>
    </row>
    <row r="14" ht="26" customHeight="1">
      <c r="A14" s="3" t="inlineStr">
        <is>
          <t>C. 영상</t>
        </is>
      </c>
      <c r="B14" s="4" t="inlineStr">
        <is>
          <t>오프닝 영상 — 동문회 제공 영상 상영·편집 지원 (대안)</t>
        </is>
      </c>
      <c r="C14" s="8" t="n"/>
      <c r="D14" s="8" t="n"/>
      <c r="E14" s="8" t="n"/>
      <c r="F14" s="10" t="n"/>
      <c r="G14" s="11">
        <f>IFERROR(D14*F14,0)</f>
        <v/>
      </c>
      <c r="H14" s="8" t="n"/>
      <c r="I14" s="8" t="n"/>
    </row>
    <row r="15" ht="26" customHeight="1">
      <c r="A15" s="3" t="inlineStr">
        <is>
          <t>C. 영상</t>
        </is>
      </c>
      <c r="B15" s="4" t="inlineStr">
        <is>
          <t>행사 중 상영 영상·그래픽</t>
        </is>
      </c>
      <c r="C15" s="8" t="n"/>
      <c r="D15" s="8" t="n"/>
      <c r="E15" s="8" t="n"/>
      <c r="F15" s="10" t="n"/>
      <c r="G15" s="11">
        <f>IFERROR(D15*F15,0)</f>
        <v/>
      </c>
      <c r="H15" s="8" t="n"/>
      <c r="I15" s="8" t="n"/>
    </row>
    <row r="16" ht="26" customHeight="1">
      <c r="A16" s="3" t="inlineStr">
        <is>
          <t>D. 디자인·등록</t>
        </is>
      </c>
      <c r="B16" s="4" t="inlineStr">
        <is>
          <t>키비주얼·디자인 시스템</t>
        </is>
      </c>
      <c r="C16" s="8" t="n"/>
      <c r="D16" s="8" t="n"/>
      <c r="E16" s="8" t="n"/>
      <c r="F16" s="10" t="n"/>
      <c r="G16" s="11">
        <f>IFERROR(D16*F16,0)</f>
        <v/>
      </c>
      <c r="H16" s="8" t="n"/>
      <c r="I16" s="8" t="n"/>
    </row>
    <row r="17" ht="26" customHeight="1">
      <c r="A17" s="3" t="inlineStr">
        <is>
          <t>D. 디자인·등록</t>
        </is>
      </c>
      <c r="B17" s="4" t="inlineStr">
        <is>
          <t>초청장·인쇄물</t>
        </is>
      </c>
      <c r="C17" s="8" t="n"/>
      <c r="D17" s="8" t="n"/>
      <c r="E17" s="8" t="n"/>
      <c r="F17" s="10" t="n"/>
      <c r="G17" s="11">
        <f>IFERROR(D17*F17,0)</f>
        <v/>
      </c>
      <c r="H17" s="8" t="n"/>
      <c r="I17" s="8" t="n"/>
    </row>
    <row r="18" ht="26" customHeight="1">
      <c r="A18" s="3" t="inlineStr">
        <is>
          <t>D. 디자인·등록</t>
        </is>
      </c>
      <c r="B18" s="4" t="inlineStr">
        <is>
          <t>사인물·포토존</t>
        </is>
      </c>
      <c r="C18" s="8" t="n"/>
      <c r="D18" s="8" t="n"/>
      <c r="E18" s="8" t="n"/>
      <c r="F18" s="10" t="n"/>
      <c r="G18" s="11">
        <f>IFERROR(D18*F18,0)</f>
        <v/>
      </c>
      <c r="H18" s="8" t="n"/>
      <c r="I18" s="8" t="n"/>
    </row>
    <row r="19" ht="26" customHeight="1">
      <c r="A19" s="3" t="inlineStr">
        <is>
          <t>D. 디자인·등록</t>
        </is>
      </c>
      <c r="B19" s="4" t="inlineStr">
        <is>
          <t>등록·체크인(QR) 운영</t>
        </is>
      </c>
      <c r="C19" s="8" t="n"/>
      <c r="D19" s="8" t="n"/>
      <c r="E19" s="8" t="n"/>
      <c r="F19" s="10" t="n"/>
      <c r="G19" s="11">
        <f>IFERROR(D19*F19,0)</f>
        <v/>
      </c>
      <c r="H19" s="8" t="n"/>
      <c r="I19" s="8" t="n"/>
    </row>
    <row r="20" ht="26" customHeight="1">
      <c r="A20" s="3" t="inlineStr">
        <is>
          <t>E. 프로그램</t>
        </is>
      </c>
      <c r="B20" s="4" t="inlineStr">
        <is>
          <t>전문 MC (선택 — 동문 아나운서 섭외 검토 중)</t>
        </is>
      </c>
      <c r="C20" s="8" t="n"/>
      <c r="D20" s="8" t="n"/>
      <c r="E20" s="8" t="n"/>
      <c r="F20" s="10" t="n"/>
      <c r="G20" s="11">
        <f>IFERROR(D20*F20,0)</f>
        <v/>
      </c>
      <c r="H20" s="8" t="n"/>
      <c r="I20" s="8" t="n"/>
    </row>
    <row r="21" ht="26" customHeight="1">
      <c r="A21" s="3" t="inlineStr">
        <is>
          <t>E. 프로그램</t>
        </is>
      </c>
      <c r="B21" s="4" t="inlineStr">
        <is>
          <t>동문 MC 진행 지원 (대본·리허설)</t>
        </is>
      </c>
      <c r="C21" s="8" t="n"/>
      <c r="D21" s="8" t="n"/>
      <c r="E21" s="8" t="n"/>
      <c r="F21" s="10" t="n"/>
      <c r="G21" s="11">
        <f>IFERROR(D21*F21,0)</f>
        <v/>
      </c>
      <c r="H21" s="8" t="n"/>
      <c r="I21" s="8" t="n"/>
    </row>
    <row r="22" ht="26" customHeight="1">
      <c r="A22" s="3" t="inlineStr">
        <is>
          <t>E. 프로그램</t>
        </is>
      </c>
      <c r="B22" s="4" t="inlineStr">
        <is>
          <t>공연·출연진</t>
        </is>
      </c>
      <c r="C22" s="8" t="n"/>
      <c r="D22" s="8" t="n"/>
      <c r="E22" s="8" t="n"/>
      <c r="F22" s="10" t="n"/>
      <c r="G22" s="11">
        <f>IFERROR(D22*F22,0)</f>
        <v/>
      </c>
      <c r="H22" s="8" t="n"/>
      <c r="I22" s="8" t="n"/>
    </row>
    <row r="23" ht="26" customHeight="1">
      <c r="A23" s="3" t="inlineStr">
        <is>
          <t>E. 프로그램</t>
        </is>
      </c>
      <c r="B23" s="4" t="inlineStr">
        <is>
          <t>특별 강연 세션 진행·연출 (연사 사례비 제외)</t>
        </is>
      </c>
      <c r="C23" s="8" t="n"/>
      <c r="D23" s="8" t="n"/>
      <c r="E23" s="8" t="n"/>
      <c r="F23" s="10" t="n"/>
      <c r="G23" s="11">
        <f>IFERROR(D23*F23,0)</f>
        <v/>
      </c>
      <c r="H23" s="8" t="n"/>
      <c r="I23" s="8" t="n"/>
    </row>
    <row r="24" ht="26" customHeight="1">
      <c r="A24" s="3" t="inlineStr">
        <is>
          <t>E. 프로그램</t>
        </is>
      </c>
      <c r="B24" s="4" t="inlineStr">
        <is>
          <t>창립 세리머니 연출</t>
        </is>
      </c>
      <c r="C24" s="8" t="n"/>
      <c r="D24" s="8" t="n"/>
      <c r="E24" s="8" t="n"/>
      <c r="F24" s="10" t="n"/>
      <c r="G24" s="11">
        <f>IFERROR(D24*F24,0)</f>
        <v/>
      </c>
      <c r="H24" s="8" t="n"/>
      <c r="I24" s="8" t="n"/>
    </row>
    <row r="25" ht="26" customHeight="1">
      <c r="A25" s="3" t="inlineStr">
        <is>
          <t>F. 의전·인력</t>
        </is>
      </c>
      <c r="B25" s="4" t="inlineStr">
        <is>
          <t>VIP 의전·좌석</t>
        </is>
      </c>
      <c r="C25" s="8" t="n"/>
      <c r="D25" s="8" t="n"/>
      <c r="E25" s="8" t="n"/>
      <c r="F25" s="10" t="n"/>
      <c r="G25" s="11">
        <f>IFERROR(D25*F25,0)</f>
        <v/>
      </c>
      <c r="H25" s="8" t="n"/>
      <c r="I25" s="8" t="n"/>
    </row>
    <row r="26" ht="26" customHeight="1">
      <c r="A26" s="3" t="inlineStr">
        <is>
          <t>F. 의전·인력</t>
        </is>
      </c>
      <c r="B26" s="4" t="inlineStr">
        <is>
          <t>현장 운영 인력</t>
        </is>
      </c>
      <c r="C26" s="8" t="n"/>
      <c r="D26" s="8" t="n"/>
      <c r="E26" s="8" t="n"/>
      <c r="F26" s="10" t="n"/>
      <c r="G26" s="11">
        <f>IFERROR(D26*F26,0)</f>
        <v/>
      </c>
      <c r="H26" s="8" t="n"/>
      <c r="I26" s="8" t="n"/>
    </row>
    <row r="27" ht="26" customHeight="1">
      <c r="A27" s="3" t="inlineStr">
        <is>
          <t>F. 의전·인력</t>
        </is>
      </c>
      <c r="B27" s="4" t="inlineStr">
        <is>
          <t>안전·물류</t>
        </is>
      </c>
      <c r="C27" s="8" t="n"/>
      <c r="D27" s="8" t="n"/>
      <c r="E27" s="8" t="n"/>
      <c r="F27" s="10" t="n"/>
      <c r="G27" s="11">
        <f>IFERROR(D27*F27,0)</f>
        <v/>
      </c>
      <c r="H27" s="8" t="n"/>
      <c r="I27" s="8" t="n"/>
    </row>
    <row r="28" ht="26" customHeight="1">
      <c r="A28" s="3" t="inlineStr">
        <is>
          <t>G. 기록</t>
        </is>
      </c>
      <c r="B28" s="4" t="inlineStr">
        <is>
          <t>사진 촬영</t>
        </is>
      </c>
      <c r="C28" s="8" t="n"/>
      <c r="D28" s="8" t="n"/>
      <c r="E28" s="8" t="n"/>
      <c r="F28" s="10" t="n"/>
      <c r="G28" s="11">
        <f>IFERROR(D28*F28,0)</f>
        <v/>
      </c>
      <c r="H28" s="8" t="n"/>
      <c r="I28" s="8" t="n"/>
    </row>
    <row r="29" ht="26" customHeight="1">
      <c r="A29" s="3" t="inlineStr">
        <is>
          <t>G. 기록</t>
        </is>
      </c>
      <c r="B29" s="4" t="inlineStr">
        <is>
          <t>영상 기록·하이라이트 편집</t>
        </is>
      </c>
      <c r="C29" s="8" t="n"/>
      <c r="D29" s="8" t="n"/>
      <c r="E29" s="8" t="n"/>
      <c r="F29" s="10" t="n"/>
      <c r="G29" s="11">
        <f>IFERROR(D29*F29,0)</f>
        <v/>
      </c>
      <c r="H29" s="8" t="n"/>
      <c r="I29" s="8" t="n"/>
    </row>
    <row r="30" ht="26" customHeight="1">
      <c r="A30" s="3" t="inlineStr">
        <is>
          <t>H. 기타</t>
        </is>
      </c>
      <c r="B30" s="4" t="inlineStr">
        <is>
          <t>기타 1</t>
        </is>
      </c>
      <c r="C30" s="8" t="n"/>
      <c r="D30" s="8" t="n"/>
      <c r="E30" s="8" t="n"/>
      <c r="F30" s="10" t="n"/>
      <c r="G30" s="11">
        <f>IFERROR(D30*F30,0)</f>
        <v/>
      </c>
      <c r="H30" s="8" t="n"/>
      <c r="I30" s="8" t="n"/>
    </row>
    <row r="31" ht="26" customHeight="1">
      <c r="A31" s="3" t="inlineStr">
        <is>
          <t>H. 기타</t>
        </is>
      </c>
      <c r="B31" s="4" t="inlineStr">
        <is>
          <t>기타 2</t>
        </is>
      </c>
      <c r="C31" s="8" t="n"/>
      <c r="D31" s="8" t="n"/>
      <c r="E31" s="8" t="n"/>
      <c r="F31" s="10" t="n"/>
      <c r="G31" s="11">
        <f>IFERROR(D31*F31,0)</f>
        <v/>
      </c>
      <c r="H31" s="8" t="n"/>
      <c r="I31" s="8" t="n"/>
    </row>
    <row r="32" ht="26" customHeight="1">
      <c r="A32" s="12" t="inlineStr">
        <is>
          <t>I. 굿즈 (선택·별도 판매)</t>
        </is>
      </c>
      <c r="B32" s="4" t="inlineStr">
        <is>
          <t>굿즈 기획·디자인</t>
        </is>
      </c>
      <c r="C32" s="8" t="n"/>
      <c r="D32" s="8" t="n"/>
      <c r="E32" s="8" t="n"/>
      <c r="F32" s="10" t="n"/>
      <c r="G32" s="11">
        <f>IFERROR(D32*F32,0)</f>
        <v/>
      </c>
      <c r="H32" s="8" t="n"/>
      <c r="I32" s="8" t="n"/>
    </row>
    <row r="33" ht="26" customHeight="1">
      <c r="A33" s="12" t="inlineStr">
        <is>
          <t>I. 굿즈 (선택·별도 판매)</t>
        </is>
      </c>
      <c r="B33" s="4" t="inlineStr">
        <is>
          <t>굿즈 제작 (품목·최소수량·단가 기재)</t>
        </is>
      </c>
      <c r="C33" s="8" t="n"/>
      <c r="D33" s="8" t="n"/>
      <c r="E33" s="8" t="n"/>
      <c r="F33" s="10" t="n"/>
      <c r="G33" s="11">
        <f>IFERROR(D33*F33,0)</f>
        <v/>
      </c>
      <c r="H33" s="8" t="n"/>
      <c r="I33" s="8" t="n"/>
    </row>
    <row r="34" ht="26" customHeight="1">
      <c r="A34" s="12" t="inlineStr">
        <is>
          <t>I. 굿즈 (선택·별도 판매)</t>
        </is>
      </c>
      <c r="B34" s="4" t="inlineStr">
        <is>
          <t>사전 판매 운영 지원 (선택)</t>
        </is>
      </c>
      <c r="C34" s="8" t="n"/>
      <c r="D34" s="8" t="n"/>
      <c r="E34" s="8" t="n"/>
      <c r="F34" s="10" t="n"/>
      <c r="G34" s="11">
        <f>IFERROR(D34*F34,0)</f>
        <v/>
      </c>
      <c r="H34" s="8" t="n"/>
      <c r="I34" s="8" t="n"/>
    </row>
    <row r="36">
      <c r="A36" s="13" t="inlineStr">
        <is>
          <t>행사 소계 (공급가액, A~H)</t>
        </is>
      </c>
      <c r="G36" s="14">
        <f>SUM(G5:G31)</f>
        <v/>
      </c>
    </row>
    <row r="37">
      <c r="A37" s="13" t="inlineStr">
        <is>
          <t xml:space="preserve">  └ 기획·PM비 (A)</t>
        </is>
      </c>
      <c r="G37" s="14">
        <f>SUMIF(A5:A31,"A. 기획·PM",G5:G31)</f>
        <v/>
      </c>
    </row>
    <row r="38">
      <c r="A38" s="13" t="inlineStr">
        <is>
          <t xml:space="preserve">  └ 외주 제작·운영비</t>
        </is>
      </c>
      <c r="G38" s="14">
        <f>SUMIF(I5:I31,"외주",G5:G31)</f>
        <v/>
      </c>
    </row>
    <row r="39">
      <c r="A39" s="13" t="inlineStr">
        <is>
          <t>대행 관리비·수수료 (%)</t>
        </is>
      </c>
      <c r="G39" s="15" t="n"/>
    </row>
    <row r="40">
      <c r="A40" s="13" t="inlineStr">
        <is>
          <t>대행 관리비·수수료 (금액)</t>
        </is>
      </c>
      <c r="G40" s="14">
        <f>ROUND(G36*G39,0)</f>
        <v/>
      </c>
    </row>
    <row r="41">
      <c r="A41" s="13" t="inlineStr">
        <is>
          <t>공급가액 합계</t>
        </is>
      </c>
      <c r="G41" s="14">
        <f>G36+G40</f>
        <v/>
      </c>
    </row>
    <row r="42">
      <c r="A42" s="13" t="inlineStr">
        <is>
          <t>부가세 (10%)</t>
        </is>
      </c>
      <c r="G42" s="14">
        <f>ROUND(G41*0.1,0)</f>
        <v/>
      </c>
    </row>
    <row r="43">
      <c r="A43" s="13" t="inlineStr">
        <is>
          <t>행사 총액 (부가세 포함)</t>
        </is>
      </c>
      <c r="G43" s="16">
        <f>G41+G42</f>
        <v/>
      </c>
    </row>
    <row r="44">
      <c r="A44" s="13" t="inlineStr">
        <is>
          <t xml:space="preserve">  └ 필수 항목만 (부가세 포함)</t>
        </is>
      </c>
      <c r="G44" s="14">
        <f>ROUND(SUMIF(H5:H31,"필수",G5:G31)*(1+G39)*1.1,0)</f>
        <v/>
      </c>
    </row>
    <row r="45">
      <c r="A45" s="13" t="inlineStr">
        <is>
          <t>상한 1억 3,000만원 대비</t>
        </is>
      </c>
      <c r="G45" s="17">
        <f>IF(G43=0,"",IF(G43&lt;=130000000,"상한 이내 (여유 "&amp;TEXT(130000000-G43,"#,##0")&amp;"원)","상한 초과 "&amp;TEXT(G43-130000000,"#,##0")&amp;"원"))</f>
        <v/>
      </c>
    </row>
    <row r="46">
      <c r="A46" s="13" t="inlineStr">
        <is>
          <t>굿즈 (별도, 부가세 포함)</t>
        </is>
      </c>
      <c r="G46" s="14">
        <f>ROUND(SUM(G32:G34)*1.1,0)</f>
        <v/>
      </c>
    </row>
  </sheetData>
  <mergeCells count="13">
    <mergeCell ref="A38:F38"/>
    <mergeCell ref="A41:F41"/>
    <mergeCell ref="A2:I2"/>
    <mergeCell ref="A42:F42"/>
    <mergeCell ref="A46:F46"/>
    <mergeCell ref="A36:F36"/>
    <mergeCell ref="A44:F44"/>
    <mergeCell ref="A45:F45"/>
    <mergeCell ref="A37:F37"/>
    <mergeCell ref="A1:I1"/>
    <mergeCell ref="A40:F40"/>
    <mergeCell ref="A39:F39"/>
    <mergeCell ref="A43:F43"/>
  </mergeCells>
  <conditionalFormatting sqref="G45">
    <cfRule type="expression" priority="1" dxfId="0">
      <formula>G43&gt;130000000</formula>
    </cfRule>
  </conditionalFormatting>
  <dataValidations count="2">
    <dataValidation sqref="H5:H34" showDropDown="0" showInputMessage="0" showErrorMessage="0" allowBlank="1" type="list">
      <formula1>"필수,선택"</formula1>
    </dataValidation>
    <dataValidation sqref="I5:I34" showDropDown="0" showInputMessage="0" showErrorMessage="0" allowBlank="1" type="list">
      <formula1>"사내,외주"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44" customWidth="1" min="4" max="4"/>
  </cols>
  <sheetData>
    <row r="1" ht="30" customHeight="1">
      <c r="A1" s="1" t="inlineStr">
        <is>
          <t>6. 인원 증감</t>
        </is>
      </c>
    </row>
    <row r="2" ht="32" customHeight="1">
      <c r="A2" s="2" t="inlineStr">
        <is>
          <t>700명 기준(시트 5) 대비 600명·800명일 때의 행사 총액(부가세 포함)</t>
        </is>
      </c>
    </row>
    <row r="4">
      <c r="A4" s="5" t="inlineStr">
        <is>
          <t>시나리오</t>
        </is>
      </c>
      <c r="B4" s="5" t="inlineStr">
        <is>
          <t>행사 총액 (부가세 포함, 원)</t>
        </is>
      </c>
      <c r="C4" s="5" t="inlineStr">
        <is>
          <t>700명 대비 증감</t>
        </is>
      </c>
      <c r="D4" s="5" t="inlineStr">
        <is>
          <t>증감 사유</t>
        </is>
      </c>
    </row>
    <row r="5" ht="24" customHeight="1">
      <c r="A5" s="3" t="inlineStr">
        <is>
          <t>600명</t>
        </is>
      </c>
      <c r="B5" s="18" t="n"/>
      <c r="C5" s="11">
        <f>IF(B5="","",B5-$B$6)</f>
        <v/>
      </c>
      <c r="D5" s="8" t="n"/>
    </row>
    <row r="6" ht="24" customHeight="1">
      <c r="A6" s="3" t="inlineStr">
        <is>
          <t>700명 (기준)</t>
        </is>
      </c>
      <c r="B6" s="11">
        <f>'5 견적(700명)'!G43</f>
        <v/>
      </c>
      <c r="C6" s="11">
        <f>IF(B6="","",B6-$B$6)</f>
        <v/>
      </c>
      <c r="D6" s="8" t="n"/>
    </row>
    <row r="7" ht="24" customHeight="1">
      <c r="A7" s="3" t="inlineStr">
        <is>
          <t>800명</t>
        </is>
      </c>
      <c r="B7" s="18" t="n"/>
      <c r="C7" s="11">
        <f>IF(B7="","",B7-$B$6)</f>
        <v/>
      </c>
      <c r="D7" s="8" t="n"/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8" customWidth="1" min="4" max="4"/>
    <col width="30" customWidth="1" min="5" max="5"/>
    <col width="26" customWidth="1" min="6" max="6"/>
  </cols>
  <sheetData>
    <row r="1" ht="30" customHeight="1">
      <c r="A1" s="1" t="inlineStr">
        <is>
          <t>7. 같은 예산으로 더 멋지게 — 귀사의 방법</t>
        </is>
      </c>
    </row>
    <row r="2" ht="32" customHeight="1">
      <c r="A2" s="2" t="inlineStr">
        <is>
          <t>평가에서 가장 중요하게 봅니다. 일반적인 방식 대비 비용을 줄이거나 같은 비용으로 시각적 완성도를 높이는 구체적 방법을 적어 주십시오. (예: AI 활용 영상·그래픽 제작, 효율적 LED·무대 구성, 공간 연출 재활용 등)</t>
        </is>
      </c>
    </row>
    <row r="4">
      <c r="A4" s="5" t="inlineStr">
        <is>
          <t>No</t>
        </is>
      </c>
      <c r="B4" s="5" t="inlineStr">
        <is>
          <t>방법</t>
        </is>
      </c>
      <c r="C4" s="5" t="inlineStr">
        <is>
          <t>적용 영역 (영상/무대/디자인/운영 등)</t>
        </is>
      </c>
      <c r="D4" s="5" t="inlineStr">
        <is>
          <t>일반 방식 대비 비용</t>
        </is>
      </c>
      <c r="E4" s="5" t="inlineStr">
        <is>
          <t>시각적 효과·기대 결과</t>
        </is>
      </c>
      <c r="F4" s="5" t="inlineStr">
        <is>
          <t>레퍼런스 (링크·행사명)</t>
        </is>
      </c>
    </row>
    <row r="5" ht="46" customHeight="1">
      <c r="A5" s="9" t="n">
        <v>1</v>
      </c>
      <c r="B5" s="8" t="n"/>
      <c r="C5" s="8" t="n"/>
      <c r="D5" s="8" t="n"/>
      <c r="E5" s="8" t="n"/>
      <c r="F5" s="8" t="n"/>
    </row>
    <row r="6" ht="46" customHeight="1">
      <c r="A6" s="9" t="n">
        <v>2</v>
      </c>
      <c r="B6" s="8" t="n"/>
      <c r="C6" s="8" t="n"/>
      <c r="D6" s="8" t="n"/>
      <c r="E6" s="8" t="n"/>
      <c r="F6" s="8" t="n"/>
    </row>
    <row r="7" ht="46" customHeight="1">
      <c r="A7" s="9" t="n">
        <v>3</v>
      </c>
      <c r="B7" s="8" t="n"/>
      <c r="C7" s="8" t="n"/>
      <c r="D7" s="8" t="n"/>
      <c r="E7" s="8" t="n"/>
      <c r="F7" s="8" t="n"/>
    </row>
    <row r="8" ht="46" customHeight="1">
      <c r="A8" s="9" t="n">
        <v>4</v>
      </c>
      <c r="B8" s="8" t="n"/>
      <c r="C8" s="8" t="n"/>
      <c r="D8" s="8" t="n"/>
      <c r="E8" s="8" t="n"/>
      <c r="F8" s="8" t="n"/>
    </row>
    <row r="9" ht="46" customHeight="1">
      <c r="A9" s="9" t="n">
        <v>5</v>
      </c>
      <c r="B9" s="8" t="n"/>
      <c r="C9" s="8" t="n"/>
      <c r="D9" s="8" t="n"/>
      <c r="E9" s="8" t="n"/>
      <c r="F9" s="8" t="n"/>
    </row>
    <row r="10" ht="46" customHeight="1">
      <c r="A10" s="9" t="n">
        <v>6</v>
      </c>
      <c r="B10" s="8" t="n"/>
      <c r="C10" s="8" t="n"/>
      <c r="D10" s="8" t="n"/>
      <c r="E10" s="8" t="n"/>
      <c r="F10" s="8" t="n"/>
    </row>
    <row r="12">
      <c r="A12" s="3" t="inlineStr">
        <is>
          <t>AI 영상</t>
        </is>
      </c>
      <c r="B12" s="4" t="inlineStr">
        <is>
          <t>AI를 활용한 영상·그래픽 제작 역량: 사용 도구, 제작 기간, 품질 관리 방법, 최근 사례 (링크)</t>
        </is>
      </c>
    </row>
    <row r="13">
      <c r="A13" s="8" t="n"/>
    </row>
    <row r="14"/>
    <row r="15"/>
  </sheetData>
  <mergeCells count="4">
    <mergeCell ref="A2:F2"/>
    <mergeCell ref="B12:F12"/>
    <mergeCell ref="A1:F1"/>
    <mergeCell ref="A13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2026-10-20T06:04:25Z</dcterms:created>
  <dcterms:modified xmlns:dcterms="http://purl.org/dc/terms/" xmlns:xsi="http://www.w3.org/2001/XMLSchema-instance" xsi:type="dcterms:W3CDTF">2026-10-20T06:04:25Z</dcterms:modified>
</cp:coreProperties>
</file>