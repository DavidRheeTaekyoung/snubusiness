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채점기준" sheetId="1" state="visible" r:id="rId1"/>
    <sheet xmlns:r="http://schemas.openxmlformats.org/officeDocument/2006/relationships" name="종합" sheetId="2" state="visible" r:id="rId2"/>
    <sheet xmlns:r="http://schemas.openxmlformats.org/officeDocument/2006/relationships" name="평가자1" sheetId="3" state="visible" r:id="rId3"/>
    <sheet xmlns:r="http://schemas.openxmlformats.org/officeDocument/2006/relationships" name="평가자2" sheetId="4" state="visible" r:id="rId4"/>
    <sheet xmlns:r="http://schemas.openxmlformats.org/officeDocument/2006/relationships" name="평가자3" sheetId="5" state="visible" r:id="rId5"/>
    <sheet xmlns:r="http://schemas.openxmlformats.org/officeDocument/2006/relationships" name="평가자4" sheetId="6" state="visible" r:id="rId6"/>
    <sheet xmlns:r="http://schemas.openxmlformats.org/officeDocument/2006/relationships" name="평가자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7">
    <font>
      <name val="Calibri"/>
      <family val="2"/>
      <color theme="1"/>
      <sz val="11"/>
      <scheme val="minor"/>
    </font>
    <font>
      <name val="맑은 고딕"/>
      <b val="1"/>
      <color rgb="00FFFFFF"/>
      <sz val="14"/>
    </font>
    <font>
      <name val="맑은 고딕"/>
      <color rgb="006B6259"/>
      <sz val="9"/>
    </font>
    <font>
      <name val="맑은 고딕"/>
      <b val="1"/>
      <color rgb="00FFFFFF"/>
      <sz val="10"/>
    </font>
    <font>
      <name val="맑은 고딕"/>
      <b val="1"/>
      <color rgb="001F1A17"/>
      <sz val="10"/>
    </font>
    <font>
      <name val="맑은 고딕"/>
      <color rgb="001F1A17"/>
      <sz val="10"/>
    </font>
    <font>
      <name val="맑은 고딕"/>
      <color rgb="001F1A17"/>
      <sz val="9"/>
    </font>
  </fonts>
  <fills count="7">
    <fill>
      <patternFill/>
    </fill>
    <fill>
      <patternFill patternType="gray125"/>
    </fill>
    <fill>
      <patternFill patternType="solid">
        <fgColor rgb="003A0A14"/>
      </patternFill>
    </fill>
    <fill>
      <patternFill patternType="solid">
        <fgColor rgb="005C1424"/>
      </patternFill>
    </fill>
    <fill>
      <patternFill patternType="solid">
        <fgColor rgb="00F7F4EE"/>
      </patternFill>
    </fill>
    <fill>
      <patternFill patternType="solid">
        <fgColor rgb="00FFF8E1"/>
      </patternFill>
    </fill>
    <fill>
      <patternFill patternType="solid">
        <fgColor rgb="00F3E2E7"/>
      </patternFill>
    </fill>
  </fills>
  <borders count="5">
    <border>
      <left/>
      <right/>
      <top/>
      <bottom/>
      <diagonal/>
    </border>
    <border>
      <left style="thin">
        <color rgb="00D9CFBE"/>
      </left>
      <right style="thin">
        <color rgb="00D9CFBE"/>
      </right>
      <top style="thin">
        <color rgb="00D9CFBE"/>
      </top>
      <bottom style="thin">
        <color rgb="00D9CFBE"/>
      </bottom>
    </border>
    <border>
      <left style="thin">
        <color rgb="00D9CFBE"/>
      </left>
      <right/>
      <top/>
      <bottom/>
      <diagonal/>
    </border>
    <border>
      <left style="thin">
        <color rgb="00D9CFBE"/>
      </left>
      <right style="thin">
        <color rgb="00D9CFBE"/>
      </right>
      <top/>
      <bottom/>
      <diagonal/>
    </border>
    <border>
      <left style="thin">
        <color rgb="00D9CFBE"/>
      </left>
      <right style="thin">
        <color rgb="00D9CFBE"/>
      </right>
      <top/>
      <bottom style="thin">
        <color rgb="00D9CFBE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2" fillId="0" borderId="0" applyAlignment="1" pivotButton="0" quotePrefix="0" xfId="0">
      <alignment vertical="center" wrapText="1" inden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0" fillId="0" borderId="3" pivotButton="0" quotePrefix="0" xfId="0"/>
    <xf numFmtId="0" fontId="0" fillId="0" borderId="4" pivotButton="0" quotePrefix="0" xfId="0"/>
    <xf numFmtId="0" fontId="4" fillId="0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164" fontId="5" fillId="0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164" fontId="4" fillId="6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1">
    <dxf>
      <fill>
        <patternFill patternType="solid">
          <fgColor rgb="00F8C9C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cols>
    <col width="22" customWidth="1" min="1" max="1"/>
    <col width="7" customWidth="1" min="2" max="2"/>
    <col width="26" customWidth="1" min="3" max="3"/>
    <col width="7" customWidth="1" min="4" max="4"/>
    <col width="38" customWidth="1" min="5" max="5"/>
    <col width="32" customWidth="1" min="6" max="6"/>
    <col width="28" customWidth="1" min="7" max="7"/>
  </cols>
  <sheetData>
    <row r="1" ht="30" customHeight="1">
      <c r="A1" s="1" t="inlineStr">
        <is>
          <t>2027 창립총회 행사대행사 평가 — 채점 기준 (100점)</t>
        </is>
      </c>
    </row>
    <row r="2" ht="30" customHeight="1">
      <c r="A2" s="2" t="inlineStr">
        <is>
          <t>항목별 배점 안에서 점수를 매깁니다. 기준 칸은 상(만점 근처)·중(절반 안팎)·하(0~하위) 판단의 가이드입니다. 결격 확인(G1~G5)에 '아니오'가 있으면 총점과 별도로 협의 대상입니다.</t>
        </is>
      </c>
    </row>
    <row r="4">
      <c r="A4" s="3" t="inlineStr">
        <is>
          <t>대항목</t>
        </is>
      </c>
      <c r="B4" s="3" t="inlineStr">
        <is>
          <t>코드</t>
        </is>
      </c>
      <c r="C4" s="3" t="inlineStr">
        <is>
          <t>세부 항목</t>
        </is>
      </c>
      <c r="D4" s="3" t="inlineStr">
        <is>
          <t>배점</t>
        </is>
      </c>
      <c r="E4" s="3" t="inlineStr">
        <is>
          <t>상 (만점 근처)</t>
        </is>
      </c>
      <c r="F4" s="3" t="inlineStr">
        <is>
          <t>중 (절반 안팎)</t>
        </is>
      </c>
      <c r="G4" s="3" t="inlineStr">
        <is>
          <t>하 (0~하위)</t>
        </is>
      </c>
    </row>
    <row r="5" ht="40" customHeight="1">
      <c r="A5" s="4" t="inlineStr">
        <is>
          <t>행사 콘셉트·창의성 (25)</t>
        </is>
      </c>
      <c r="B5" s="5" t="inlineStr">
        <is>
          <t>1-1</t>
        </is>
      </c>
      <c r="C5" s="6" t="inlineStr">
        <is>
          <t>창립 메시지 해석</t>
        </is>
      </c>
      <c r="D5" s="5" t="n">
        <v>10</v>
      </c>
      <c r="E5" s="7" t="inlineStr">
        <is>
          <t>새 동문회의 정체성·비전을 행사 전체에 일관된 메시지로 풀어냄</t>
        </is>
      </c>
      <c r="F5" s="7" t="inlineStr">
        <is>
          <t>메시지는 있으나 일부 요소에만 반영</t>
        </is>
      </c>
      <c r="G5" s="7" t="inlineStr">
        <is>
          <t>일반적 갈라 행사 수준, 창립 의미가 드러나지 않음</t>
        </is>
      </c>
    </row>
    <row r="6" ht="40" customHeight="1">
      <c r="A6" s="8" t="n"/>
      <c r="B6" s="5" t="inlineStr">
        <is>
          <t>1-2</t>
        </is>
      </c>
      <c r="C6" s="6" t="inlineStr">
        <is>
          <t>오프닝·세리머니 차별화</t>
        </is>
      </c>
      <c r="D6" s="5" t="n">
        <v>10</v>
      </c>
      <c r="E6" s="7" t="inlineStr">
        <is>
          <t>기억에 남을 독창적 오프닝·창립 세리머니, 실현 가능성까지 제시</t>
        </is>
      </c>
      <c r="F6" s="7" t="inlineStr">
        <is>
          <t>무난한 아이디어, 일부 구체성 부족</t>
        </is>
      </c>
      <c r="G6" s="7" t="inlineStr">
        <is>
          <t>흔한 영상+축사 구성</t>
        </is>
      </c>
    </row>
    <row r="7" ht="40" customHeight="1">
      <c r="A7" s="9" t="n"/>
      <c r="B7" s="5" t="inlineStr">
        <is>
          <t>1-3</t>
        </is>
      </c>
      <c r="C7" s="6" t="inlineStr">
        <is>
          <t>동문 정체성·세대 연결</t>
        </is>
      </c>
      <c r="D7" s="5" t="n">
        <v>5</v>
      </c>
      <c r="E7" s="7" t="inlineStr">
        <is>
          <t>선후배·세대·과정을 잇는 장치가 구체적</t>
        </is>
      </c>
      <c r="F7" s="7" t="inlineStr">
        <is>
          <t>언급은 있으나 장치가 약함</t>
        </is>
      </c>
      <c r="G7" s="7" t="inlineStr">
        <is>
          <t>고려 없음</t>
        </is>
      </c>
    </row>
    <row r="8" ht="40" customHeight="1">
      <c r="A8" s="4" t="inlineStr">
        <is>
          <t>유사 행사 실적 (20)</t>
        </is>
      </c>
      <c r="B8" s="5" t="inlineStr">
        <is>
          <t>2-1</t>
        </is>
      </c>
      <c r="C8" s="6" t="inlineStr">
        <is>
          <t>500~1,000명 호텔 갈라·창립식 실적</t>
        </is>
      </c>
      <c r="D8" s="5" t="n">
        <v>10</v>
      </c>
      <c r="E8" s="7" t="inlineStr">
        <is>
          <t>최근 5년 3건 이상, 직접 총괄 범위 명확</t>
        </is>
      </c>
      <c r="F8" s="7" t="inlineStr">
        <is>
          <t>1~2건 또는 일부 범위만 수행</t>
        </is>
      </c>
      <c r="G8" s="7" t="inlineStr">
        <is>
          <t>해당 규모 실적 없음</t>
        </is>
      </c>
    </row>
    <row r="9" ht="40" customHeight="1">
      <c r="A9" s="8" t="n"/>
      <c r="B9" s="5" t="inlineStr">
        <is>
          <t>2-2</t>
        </is>
      </c>
      <c r="C9" s="6" t="inlineStr">
        <is>
          <t>그랜드 하얏트·Encore 경험</t>
        </is>
      </c>
      <c r="D9" s="5" t="n">
        <v>5</v>
      </c>
      <c r="E9" s="7" t="inlineStr">
        <is>
          <t>Grand Ballroom 직접 수행·Encore 협의 경험 있음</t>
        </is>
      </c>
      <c r="F9" s="7" t="inlineStr">
        <is>
          <t>타 특급호텔 볼룸 경험</t>
        </is>
      </c>
      <c r="G9" s="7" t="inlineStr">
        <is>
          <t>호텔 볼룸 경험 미미</t>
        </is>
      </c>
    </row>
    <row r="10" ht="40" customHeight="1">
      <c r="A10" s="9" t="n"/>
      <c r="B10" s="5" t="inlineStr">
        <is>
          <t>2-3</t>
        </is>
      </c>
      <c r="C10" s="6" t="inlineStr">
        <is>
          <t>레퍼런스 검증 가능성</t>
        </is>
      </c>
      <c r="D10" s="5" t="n">
        <v>5</v>
      </c>
      <c r="E10" s="7" t="inlineStr">
        <is>
          <t>고객 연락·자료로 검증 가능</t>
        </is>
      </c>
      <c r="F10" s="7" t="inlineStr">
        <is>
          <t>일부만 검증 가능</t>
        </is>
      </c>
      <c r="G10" s="7" t="inlineStr">
        <is>
          <t>검증 불가</t>
        </is>
      </c>
    </row>
    <row r="11" ht="40" customHeight="1">
      <c r="A11" s="4" t="inlineStr">
        <is>
          <t>프로그램·스토리텔링 (15)</t>
        </is>
      </c>
      <c r="B11" s="5" t="inlineStr">
        <is>
          <t>3-1</t>
        </is>
      </c>
      <c r="C11" s="6" t="inlineStr">
        <is>
          <t>3시간 구성 균형</t>
        </is>
      </c>
      <c r="D11" s="5" t="n">
        <v>8</v>
      </c>
      <c r="E11" s="7" t="inlineStr">
        <is>
          <t>총회 의결·만찬·강연·세리머니·네트워킹이 분 단위로 균형 있게 설계</t>
        </is>
      </c>
      <c r="F11" s="7" t="inlineStr">
        <is>
          <t>구성은 있으나 시간 배분이 비현실적</t>
        </is>
      </c>
      <c r="G11" s="7" t="inlineStr">
        <is>
          <t>나열 수준</t>
        </is>
      </c>
    </row>
    <row r="12" ht="40" customHeight="1">
      <c r="A12" s="8" t="n"/>
      <c r="B12" s="5" t="inlineStr">
        <is>
          <t>3-2</t>
        </is>
      </c>
      <c r="C12" s="6" t="inlineStr">
        <is>
          <t>시나리오·큐시트 완성도</t>
        </is>
      </c>
      <c r="D12" s="5" t="n">
        <v>4</v>
      </c>
      <c r="E12" s="7" t="inlineStr">
        <is>
          <t>초안 큐시트 수준의 구체성</t>
        </is>
      </c>
      <c r="F12" s="7" t="inlineStr">
        <is>
          <t>개요 수준</t>
        </is>
      </c>
      <c r="G12" s="7" t="inlineStr">
        <is>
          <t>없음</t>
        </is>
      </c>
    </row>
    <row r="13" ht="40" customHeight="1">
      <c r="A13" s="9" t="n"/>
      <c r="B13" s="5" t="inlineStr">
        <is>
          <t>3-3</t>
        </is>
      </c>
      <c r="C13" s="6" t="inlineStr">
        <is>
          <t>특별 강연 세션 연출</t>
        </is>
      </c>
      <c r="D13" s="5" t="n">
        <v>3</v>
      </c>
      <c r="E13" s="7" t="inlineStr">
        <is>
          <t>연사 미정 상태에서도 형식·연출 대안 제시</t>
        </is>
      </c>
      <c r="F13" s="7" t="inlineStr">
        <is>
          <t>일반적 강연 배치</t>
        </is>
      </c>
      <c r="G13" s="7" t="inlineStr">
        <is>
          <t>고려 없음</t>
        </is>
      </c>
    </row>
    <row r="14" ht="40" customHeight="1">
      <c r="A14" s="4" t="inlineStr">
        <is>
          <t>실제 투입 PM·팀 (15)</t>
        </is>
      </c>
      <c r="B14" s="5" t="inlineStr">
        <is>
          <t>4-1</t>
        </is>
      </c>
      <c r="C14" s="6" t="inlineStr">
        <is>
          <t>총괄 PM 경력·투입률</t>
        </is>
      </c>
      <c r="D14" s="5" t="n">
        <v>8</v>
      </c>
      <c r="E14" s="7" t="inlineStr">
        <is>
          <t>유사 규모 총괄 경험 + 높은 투입률 확약</t>
        </is>
      </c>
      <c r="F14" s="7" t="inlineStr">
        <is>
          <t>경험 있으나 투입률 낮거나 겸직 많음</t>
        </is>
      </c>
      <c r="G14" s="7" t="inlineStr">
        <is>
          <t>경력 부족·미지정</t>
        </is>
      </c>
    </row>
    <row r="15" ht="40" customHeight="1">
      <c r="A15" s="8" t="n"/>
      <c r="B15" s="5" t="inlineStr">
        <is>
          <t>4-2</t>
        </is>
      </c>
      <c r="C15" s="6" t="inlineStr">
        <is>
          <t>핵심 팀 구성</t>
        </is>
      </c>
      <c r="D15" s="5" t="n">
        <v>4</v>
      </c>
      <c r="E15" s="7" t="inlineStr">
        <is>
          <t>CD·현장책임·AV·의전 책임자 실명·실적 제시</t>
        </is>
      </c>
      <c r="F15" s="7" t="inlineStr">
        <is>
          <t>일부만 지정</t>
        </is>
      </c>
      <c r="G15" s="7" t="inlineStr">
        <is>
          <t>미지정</t>
        </is>
      </c>
    </row>
    <row r="16" ht="40" customHeight="1">
      <c r="A16" s="9" t="n"/>
      <c r="B16" s="5" t="inlineStr">
        <is>
          <t>4-3</t>
        </is>
      </c>
      <c r="C16" s="6" t="inlineStr">
        <is>
          <t>사내 제작 비중·외주 관리</t>
        </is>
      </c>
      <c r="D16" s="5" t="n">
        <v>3</v>
      </c>
      <c r="E16" s="7" t="inlineStr">
        <is>
          <t>핵심 제작 사내 수행 또는 외주 파트너 명확</t>
        </is>
      </c>
      <c r="F16" s="7" t="inlineStr">
        <is>
          <t>외주 비중 높으나 관리 방안 있음</t>
        </is>
      </c>
      <c r="G16" s="7" t="inlineStr">
        <is>
          <t>재하도급 구조 불명확</t>
        </is>
      </c>
    </row>
    <row r="17" ht="40" customHeight="1">
      <c r="A17" s="4" t="inlineStr">
        <is>
          <t>등록·VIP·현장 운영 (10)</t>
        </is>
      </c>
      <c r="B17" s="5" t="inlineStr">
        <is>
          <t>5-1</t>
        </is>
      </c>
      <c r="C17" s="6" t="inlineStr">
        <is>
          <t>등록·RSVP·QR 및 홈페이지 연계</t>
        </is>
      </c>
      <c r="D17" s="5" t="n">
        <v>4</v>
      </c>
      <c r="E17" s="7" t="inlineStr">
        <is>
          <t>동문회 시스템 연계 + 개인정보 처리 방안 구체</t>
        </is>
      </c>
      <c r="F17" s="7" t="inlineStr">
        <is>
          <t>자체 시스템만 제시</t>
        </is>
      </c>
      <c r="G17" s="7" t="inlineStr">
        <is>
          <t>고려 없음</t>
        </is>
      </c>
    </row>
    <row r="18" ht="40" customHeight="1">
      <c r="A18" s="8" t="n"/>
      <c r="B18" s="5" t="inlineStr">
        <is>
          <t>5-2</t>
        </is>
      </c>
      <c r="C18" s="6" t="inlineStr">
        <is>
          <t>VIP 의전·좌석·동선</t>
        </is>
      </c>
      <c r="D18" s="5" t="n">
        <v>3</v>
      </c>
      <c r="E18" s="7" t="inlineStr">
        <is>
          <t>VIP 리셉션·좌석·동선 계획 구체</t>
        </is>
      </c>
      <c r="F18" s="7" t="inlineStr">
        <is>
          <t>일반적 계획</t>
        </is>
      </c>
      <c r="G18" s="7" t="inlineStr">
        <is>
          <t>없음</t>
        </is>
      </c>
    </row>
    <row r="19" ht="40" customHeight="1">
      <c r="A19" s="9" t="n"/>
      <c r="B19" s="5" t="inlineStr">
        <is>
          <t>5-3</t>
        </is>
      </c>
      <c r="C19" s="6" t="inlineStr">
        <is>
          <t>15:00 셋업·리허설·안전</t>
        </is>
      </c>
      <c r="D19" s="5" t="n">
        <v>3</v>
      </c>
      <c r="E19" s="7" t="inlineStr">
        <is>
          <t>호텔 조건을 반영한 셋업·리허설·안전 계획</t>
        </is>
      </c>
      <c r="F19" s="7" t="inlineStr">
        <is>
          <t>조건 인지 수준</t>
        </is>
      </c>
      <c r="G19" s="7" t="inlineStr">
        <is>
          <t>조건 미반영</t>
        </is>
      </c>
    </row>
    <row r="20" ht="40" customHeight="1">
      <c r="A20" s="4" t="inlineStr">
        <is>
          <t>예산 합리성·투명성 (10)</t>
        </is>
      </c>
      <c r="B20" s="5" t="inlineStr">
        <is>
          <t>6-1</t>
        </is>
      </c>
      <c r="C20" s="6" t="inlineStr">
        <is>
          <t>예산 범위 적합성</t>
        </is>
      </c>
      <c r="D20" s="5" t="n">
        <v>4</v>
      </c>
      <c r="E20" s="7" t="inlineStr">
        <is>
          <t>1.2~1.3억(VAT 기준 명확) 내 제안</t>
        </is>
      </c>
      <c r="F20" s="7" t="inlineStr">
        <is>
          <t>범위 약간 초과 또는 VAT 기준 불명확</t>
        </is>
      </c>
      <c r="G20" s="7" t="inlineStr">
        <is>
          <t>크게 초과</t>
        </is>
      </c>
    </row>
    <row r="21" ht="40" customHeight="1">
      <c r="A21" s="8" t="n"/>
      <c r="B21" s="5" t="inlineStr">
        <is>
          <t>6-2</t>
        </is>
      </c>
      <c r="C21" s="6" t="inlineStr">
        <is>
          <t>산출 근거·구분</t>
        </is>
      </c>
      <c r="D21" s="5" t="n">
        <v>4</v>
      </c>
      <c r="E21" s="7" t="inlineStr">
        <is>
          <t>항목별 수량·단가, PM비/외주비/수수료/VAT 분리</t>
        </is>
      </c>
      <c r="F21" s="7" t="inlineStr">
        <is>
          <t>일부 분리</t>
        </is>
      </c>
      <c r="G21" s="7" t="inlineStr">
        <is>
          <t>통합 견적</t>
        </is>
      </c>
    </row>
    <row r="22" ht="40" customHeight="1">
      <c r="A22" s="9" t="n"/>
      <c r="B22" s="5" t="inlineStr">
        <is>
          <t>6-3</t>
        </is>
      </c>
      <c r="C22" s="6" t="inlineStr">
        <is>
          <t>인원 증감·옵션 분리</t>
        </is>
      </c>
      <c r="D22" s="5" t="n">
        <v>2</v>
      </c>
      <c r="E22" s="7" t="inlineStr">
        <is>
          <t>600/800명 증감과 필수/선택 구분</t>
        </is>
      </c>
      <c r="F22" s="7" t="inlineStr">
        <is>
          <t>일부만 제시</t>
        </is>
      </c>
      <c r="G22" s="7" t="inlineStr">
        <is>
          <t>없음</t>
        </is>
      </c>
    </row>
    <row r="23" ht="40" customHeight="1">
      <c r="A23" s="4" t="inlineStr">
        <is>
          <t>디자인·영상 완성도 (5)</t>
        </is>
      </c>
      <c r="B23" s="5" t="inlineStr">
        <is>
          <t>7-1</t>
        </is>
      </c>
      <c r="C23" s="6" t="inlineStr">
        <is>
          <t>키비주얼·포트폴리오 품질</t>
        </is>
      </c>
      <c r="D23" s="5" t="n">
        <v>3</v>
      </c>
      <c r="E23" s="7" t="inlineStr">
        <is>
          <t>품격 있고 일관된 시안</t>
        </is>
      </c>
      <c r="F23" s="7" t="inlineStr">
        <is>
          <t>평이</t>
        </is>
      </c>
      <c r="G23" s="7" t="inlineStr">
        <is>
          <t>미흡</t>
        </is>
      </c>
    </row>
    <row r="24" ht="40" customHeight="1">
      <c r="A24" s="9" t="n"/>
      <c r="B24" s="5" t="inlineStr">
        <is>
          <t>7-2</t>
        </is>
      </c>
      <c r="C24" s="6" t="inlineStr">
        <is>
          <t>오프닝 영상 제안</t>
        </is>
      </c>
      <c r="D24" s="5" t="n">
        <v>2</v>
      </c>
      <c r="E24" s="7" t="inlineStr">
        <is>
          <t>구성안·레퍼런스 구체</t>
        </is>
      </c>
      <c r="F24" s="7" t="inlineStr">
        <is>
          <t>개념 수준</t>
        </is>
      </c>
      <c r="G24" s="7" t="inlineStr">
        <is>
          <t>없음</t>
        </is>
      </c>
    </row>
    <row r="25">
      <c r="A25" s="4" t="inlineStr">
        <is>
          <t>합계</t>
        </is>
      </c>
      <c r="D25" s="10">
        <f>SUM(D5:D24)</f>
        <v/>
      </c>
    </row>
    <row r="27">
      <c r="A27" s="3" t="inlineStr">
        <is>
          <t>결격 확인</t>
        </is>
      </c>
      <c r="B27" s="3" t="inlineStr">
        <is>
          <t>코드</t>
        </is>
      </c>
      <c r="C27" s="3" t="inlineStr">
        <is>
          <t>확인 항목</t>
        </is>
      </c>
    </row>
    <row r="28">
      <c r="A28" s="11" t="inlineStr">
        <is>
          <t>Pass/Fail</t>
        </is>
      </c>
      <c r="B28" s="5" t="inlineStr">
        <is>
          <t>G1</t>
        </is>
      </c>
      <c r="C28" s="7" t="inlineStr">
        <is>
          <t>2027.4.16 현장 운영 가능</t>
        </is>
      </c>
    </row>
    <row r="29">
      <c r="A29" s="11" t="inlineStr">
        <is>
          <t>Pass/Fail</t>
        </is>
      </c>
      <c r="B29" s="5" t="inlineStr">
        <is>
          <t>G2</t>
        </is>
      </c>
      <c r="C29" s="7" t="inlineStr">
        <is>
          <t>호텔 60일 전 통보·사전 승인 이행 동의</t>
        </is>
      </c>
    </row>
    <row r="30">
      <c r="A30" s="11" t="inlineStr">
        <is>
          <t>Pass/Fail</t>
        </is>
      </c>
      <c r="B30" s="5" t="inlineStr">
        <is>
          <t>G3</t>
        </is>
      </c>
      <c r="C30" s="7" t="inlineStr">
        <is>
          <t>VAT 포함·별도 금액 모두 제출</t>
        </is>
      </c>
    </row>
    <row r="31">
      <c r="A31" s="11" t="inlineStr">
        <is>
          <t>Pass/Fail</t>
        </is>
      </c>
      <c r="B31" s="5" t="inlineStr">
        <is>
          <t>G4</t>
        </is>
      </c>
      <c r="C31" s="7" t="inlineStr">
        <is>
          <t>핵심 인력 실투입 확약</t>
        </is>
      </c>
    </row>
    <row r="32">
      <c r="A32" s="11" t="inlineStr">
        <is>
          <t>Pass/Fail</t>
        </is>
      </c>
      <c r="B32" s="5" t="inlineStr">
        <is>
          <t>G5</t>
        </is>
      </c>
      <c r="C32" s="7" t="inlineStr">
        <is>
          <t>참석자 개인정보 처리 방안 제출</t>
        </is>
      </c>
    </row>
  </sheetData>
  <mergeCells count="14">
    <mergeCell ref="C29:G29"/>
    <mergeCell ref="C30:G30"/>
    <mergeCell ref="A1:G1"/>
    <mergeCell ref="A8:A10"/>
    <mergeCell ref="C32:G32"/>
    <mergeCell ref="A17:A19"/>
    <mergeCell ref="A20:A22"/>
    <mergeCell ref="C28:G28"/>
    <mergeCell ref="A11:A13"/>
    <mergeCell ref="A23:A24"/>
    <mergeCell ref="A2:G2"/>
    <mergeCell ref="A5:A7"/>
    <mergeCell ref="C31:G31"/>
    <mergeCell ref="A14:A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24" customWidth="1" min="1" max="1"/>
    <col width="7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 ht="30" customHeight="1">
      <c r="A1" s="1" t="inlineStr">
        <is>
          <t>종합 — 평가자 평균</t>
        </is>
      </c>
    </row>
    <row r="2" ht="30" customHeight="1">
      <c r="A2" s="2" t="inlineStr">
        <is>
          <t>점수를 입력한 평가자만 평균에 반영. 순위는 평균 총점 기준.</t>
        </is>
      </c>
    </row>
    <row r="4">
      <c r="A4" s="3" t="inlineStr">
        <is>
          <t>대항목 (배점)</t>
        </is>
      </c>
      <c r="B4" s="3" t="inlineStr">
        <is>
          <t>배점</t>
        </is>
      </c>
      <c r="C4" s="3" t="inlineStr">
        <is>
          <t>인터컴</t>
        </is>
      </c>
      <c r="D4" s="3" t="inlineStr">
        <is>
          <t>유니원</t>
        </is>
      </c>
      <c r="E4" s="3" t="inlineStr">
        <is>
          <t>FM</t>
        </is>
      </c>
      <c r="F4" s="3" t="inlineStr">
        <is>
          <t>플랜웍스</t>
        </is>
      </c>
      <c r="G4" s="3" t="inlineStr">
        <is>
          <t>이즈피엠피</t>
        </is>
      </c>
      <c r="H4" s="3" t="inlineStr">
        <is>
          <t>피플엑스</t>
        </is>
      </c>
      <c r="I4" s="3" t="inlineStr">
        <is>
          <t>이도플래닝</t>
        </is>
      </c>
    </row>
    <row r="5">
      <c r="A5" s="4" t="inlineStr">
        <is>
          <t>행사 콘셉트·창의성</t>
        </is>
      </c>
      <c r="B5" s="5" t="n">
        <v>25</v>
      </c>
      <c r="C5" s="12">
        <f>IFERROR(SUM('평가자1'!D9,'평가자2'!D9,'평가자3'!D9,'평가자4'!D9,'평가자5'!D9)/((COUNT('평가자1'!D6:D32)&gt;0)+(COUNT('평가자2'!D6:D32)&gt;0)+(COUNT('평가자3'!D6:D32)&gt;0)+(COUNT('평가자4'!D6:D32)&gt;0)+(COUNT('평가자5'!D6:D32)&gt;0)),"")</f>
        <v/>
      </c>
      <c r="D5" s="12">
        <f>IFERROR(SUM('평가자1'!E9,'평가자2'!E9,'평가자3'!E9,'평가자4'!E9,'평가자5'!E9)/((COUNT('평가자1'!E6:E32)&gt;0)+(COUNT('평가자2'!E6:E32)&gt;0)+(COUNT('평가자3'!E6:E32)&gt;0)+(COUNT('평가자4'!E6:E32)&gt;0)+(COUNT('평가자5'!E6:E32)&gt;0)),"")</f>
        <v/>
      </c>
      <c r="E5" s="12">
        <f>IFERROR(SUM('평가자1'!F9,'평가자2'!F9,'평가자3'!F9,'평가자4'!F9,'평가자5'!F9)/((COUNT('평가자1'!F6:F32)&gt;0)+(COUNT('평가자2'!F6:F32)&gt;0)+(COUNT('평가자3'!F6:F32)&gt;0)+(COUNT('평가자4'!F6:F32)&gt;0)+(COUNT('평가자5'!F6:F32)&gt;0)),"")</f>
        <v/>
      </c>
      <c r="F5" s="12">
        <f>IFERROR(SUM('평가자1'!G9,'평가자2'!G9,'평가자3'!G9,'평가자4'!G9,'평가자5'!G9)/((COUNT('평가자1'!G6:G32)&gt;0)+(COUNT('평가자2'!G6:G32)&gt;0)+(COUNT('평가자3'!G6:G32)&gt;0)+(COUNT('평가자4'!G6:G32)&gt;0)+(COUNT('평가자5'!G6:G32)&gt;0)),"")</f>
        <v/>
      </c>
      <c r="G5" s="12">
        <f>IFERROR(SUM('평가자1'!H9,'평가자2'!H9,'평가자3'!H9,'평가자4'!H9,'평가자5'!H9)/((COUNT('평가자1'!H6:H32)&gt;0)+(COUNT('평가자2'!H6:H32)&gt;0)+(COUNT('평가자3'!H6:H32)&gt;0)+(COUNT('평가자4'!H6:H32)&gt;0)+(COUNT('평가자5'!H6:H32)&gt;0)),"")</f>
        <v/>
      </c>
      <c r="H5" s="12">
        <f>IFERROR(SUM('평가자1'!I9,'평가자2'!I9,'평가자3'!I9,'평가자4'!I9,'평가자5'!I9)/((COUNT('평가자1'!I6:I32)&gt;0)+(COUNT('평가자2'!I6:I32)&gt;0)+(COUNT('평가자3'!I6:I32)&gt;0)+(COUNT('평가자4'!I6:I32)&gt;0)+(COUNT('평가자5'!I6:I32)&gt;0)),"")</f>
        <v/>
      </c>
      <c r="I5" s="12">
        <f>IFERROR(SUM('평가자1'!J9,'평가자2'!J9,'평가자3'!J9,'평가자4'!J9,'평가자5'!J9)/((COUNT('평가자1'!J6:J32)&gt;0)+(COUNT('평가자2'!J6:J32)&gt;0)+(COUNT('평가자3'!J6:J32)&gt;0)+(COUNT('평가자4'!J6:J32)&gt;0)+(COUNT('평가자5'!J6:J32)&gt;0)),"")</f>
        <v/>
      </c>
    </row>
    <row r="6">
      <c r="A6" s="4" t="inlineStr">
        <is>
          <t>유사 행사 실적</t>
        </is>
      </c>
      <c r="B6" s="5" t="n">
        <v>20</v>
      </c>
      <c r="C6" s="12">
        <f>IFERROR(SUM('평가자1'!D13,'평가자2'!D13,'평가자3'!D13,'평가자4'!D13,'평가자5'!D13)/((COUNT('평가자1'!D6:D32)&gt;0)+(COUNT('평가자2'!D6:D32)&gt;0)+(COUNT('평가자3'!D6:D32)&gt;0)+(COUNT('평가자4'!D6:D32)&gt;0)+(COUNT('평가자5'!D6:D32)&gt;0)),"")</f>
        <v/>
      </c>
      <c r="D6" s="12">
        <f>IFERROR(SUM('평가자1'!E13,'평가자2'!E13,'평가자3'!E13,'평가자4'!E13,'평가자5'!E13)/((COUNT('평가자1'!E6:E32)&gt;0)+(COUNT('평가자2'!E6:E32)&gt;0)+(COUNT('평가자3'!E6:E32)&gt;0)+(COUNT('평가자4'!E6:E32)&gt;0)+(COUNT('평가자5'!E6:E32)&gt;0)),"")</f>
        <v/>
      </c>
      <c r="E6" s="12">
        <f>IFERROR(SUM('평가자1'!F13,'평가자2'!F13,'평가자3'!F13,'평가자4'!F13,'평가자5'!F13)/((COUNT('평가자1'!F6:F32)&gt;0)+(COUNT('평가자2'!F6:F32)&gt;0)+(COUNT('평가자3'!F6:F32)&gt;0)+(COUNT('평가자4'!F6:F32)&gt;0)+(COUNT('평가자5'!F6:F32)&gt;0)),"")</f>
        <v/>
      </c>
      <c r="F6" s="12">
        <f>IFERROR(SUM('평가자1'!G13,'평가자2'!G13,'평가자3'!G13,'평가자4'!G13,'평가자5'!G13)/((COUNT('평가자1'!G6:G32)&gt;0)+(COUNT('평가자2'!G6:G32)&gt;0)+(COUNT('평가자3'!G6:G32)&gt;0)+(COUNT('평가자4'!G6:G32)&gt;0)+(COUNT('평가자5'!G6:G32)&gt;0)),"")</f>
        <v/>
      </c>
      <c r="G6" s="12">
        <f>IFERROR(SUM('평가자1'!H13,'평가자2'!H13,'평가자3'!H13,'평가자4'!H13,'평가자5'!H13)/((COUNT('평가자1'!H6:H32)&gt;0)+(COUNT('평가자2'!H6:H32)&gt;0)+(COUNT('평가자3'!H6:H32)&gt;0)+(COUNT('평가자4'!H6:H32)&gt;0)+(COUNT('평가자5'!H6:H32)&gt;0)),"")</f>
        <v/>
      </c>
      <c r="H6" s="12">
        <f>IFERROR(SUM('평가자1'!I13,'평가자2'!I13,'평가자3'!I13,'평가자4'!I13,'평가자5'!I13)/((COUNT('평가자1'!I6:I32)&gt;0)+(COUNT('평가자2'!I6:I32)&gt;0)+(COUNT('평가자3'!I6:I32)&gt;0)+(COUNT('평가자4'!I6:I32)&gt;0)+(COUNT('평가자5'!I6:I32)&gt;0)),"")</f>
        <v/>
      </c>
      <c r="I6" s="12">
        <f>IFERROR(SUM('평가자1'!J13,'평가자2'!J13,'평가자3'!J13,'평가자4'!J13,'평가자5'!J13)/((COUNT('평가자1'!J6:J32)&gt;0)+(COUNT('평가자2'!J6:J32)&gt;0)+(COUNT('평가자3'!J6:J32)&gt;0)+(COUNT('평가자4'!J6:J32)&gt;0)+(COUNT('평가자5'!J6:J32)&gt;0)),"")</f>
        <v/>
      </c>
    </row>
    <row r="7">
      <c r="A7" s="4" t="inlineStr">
        <is>
          <t>프로그램·스토리텔링</t>
        </is>
      </c>
      <c r="B7" s="5" t="n">
        <v>15</v>
      </c>
      <c r="C7" s="12">
        <f>IFERROR(SUM('평가자1'!D17,'평가자2'!D17,'평가자3'!D17,'평가자4'!D17,'평가자5'!D17)/((COUNT('평가자1'!D6:D32)&gt;0)+(COUNT('평가자2'!D6:D32)&gt;0)+(COUNT('평가자3'!D6:D32)&gt;0)+(COUNT('평가자4'!D6:D32)&gt;0)+(COUNT('평가자5'!D6:D32)&gt;0)),"")</f>
        <v/>
      </c>
      <c r="D7" s="12">
        <f>IFERROR(SUM('평가자1'!E17,'평가자2'!E17,'평가자3'!E17,'평가자4'!E17,'평가자5'!E17)/((COUNT('평가자1'!E6:E32)&gt;0)+(COUNT('평가자2'!E6:E32)&gt;0)+(COUNT('평가자3'!E6:E32)&gt;0)+(COUNT('평가자4'!E6:E32)&gt;0)+(COUNT('평가자5'!E6:E32)&gt;0)),"")</f>
        <v/>
      </c>
      <c r="E7" s="12">
        <f>IFERROR(SUM('평가자1'!F17,'평가자2'!F17,'평가자3'!F17,'평가자4'!F17,'평가자5'!F17)/((COUNT('평가자1'!F6:F32)&gt;0)+(COUNT('평가자2'!F6:F32)&gt;0)+(COUNT('평가자3'!F6:F32)&gt;0)+(COUNT('평가자4'!F6:F32)&gt;0)+(COUNT('평가자5'!F6:F32)&gt;0)),"")</f>
        <v/>
      </c>
      <c r="F7" s="12">
        <f>IFERROR(SUM('평가자1'!G17,'평가자2'!G17,'평가자3'!G17,'평가자4'!G17,'평가자5'!G17)/((COUNT('평가자1'!G6:G32)&gt;0)+(COUNT('평가자2'!G6:G32)&gt;0)+(COUNT('평가자3'!G6:G32)&gt;0)+(COUNT('평가자4'!G6:G32)&gt;0)+(COUNT('평가자5'!G6:G32)&gt;0)),"")</f>
        <v/>
      </c>
      <c r="G7" s="12">
        <f>IFERROR(SUM('평가자1'!H17,'평가자2'!H17,'평가자3'!H17,'평가자4'!H17,'평가자5'!H17)/((COUNT('평가자1'!H6:H32)&gt;0)+(COUNT('평가자2'!H6:H32)&gt;0)+(COUNT('평가자3'!H6:H32)&gt;0)+(COUNT('평가자4'!H6:H32)&gt;0)+(COUNT('평가자5'!H6:H32)&gt;0)),"")</f>
        <v/>
      </c>
      <c r="H7" s="12">
        <f>IFERROR(SUM('평가자1'!I17,'평가자2'!I17,'평가자3'!I17,'평가자4'!I17,'평가자5'!I17)/((COUNT('평가자1'!I6:I32)&gt;0)+(COUNT('평가자2'!I6:I32)&gt;0)+(COUNT('평가자3'!I6:I32)&gt;0)+(COUNT('평가자4'!I6:I32)&gt;0)+(COUNT('평가자5'!I6:I32)&gt;0)),"")</f>
        <v/>
      </c>
      <c r="I7" s="12">
        <f>IFERROR(SUM('평가자1'!J17,'평가자2'!J17,'평가자3'!J17,'평가자4'!J17,'평가자5'!J17)/((COUNT('평가자1'!J6:J32)&gt;0)+(COUNT('평가자2'!J6:J32)&gt;0)+(COUNT('평가자3'!J6:J32)&gt;0)+(COUNT('평가자4'!J6:J32)&gt;0)+(COUNT('평가자5'!J6:J32)&gt;0)),"")</f>
        <v/>
      </c>
    </row>
    <row r="8">
      <c r="A8" s="4" t="inlineStr">
        <is>
          <t>실제 투입 PM·팀</t>
        </is>
      </c>
      <c r="B8" s="5" t="n">
        <v>15</v>
      </c>
      <c r="C8" s="12">
        <f>IFERROR(SUM('평가자1'!D21,'평가자2'!D21,'평가자3'!D21,'평가자4'!D21,'평가자5'!D21)/((COUNT('평가자1'!D6:D32)&gt;0)+(COUNT('평가자2'!D6:D32)&gt;0)+(COUNT('평가자3'!D6:D32)&gt;0)+(COUNT('평가자4'!D6:D32)&gt;0)+(COUNT('평가자5'!D6:D32)&gt;0)),"")</f>
        <v/>
      </c>
      <c r="D8" s="12">
        <f>IFERROR(SUM('평가자1'!E21,'평가자2'!E21,'평가자3'!E21,'평가자4'!E21,'평가자5'!E21)/((COUNT('평가자1'!E6:E32)&gt;0)+(COUNT('평가자2'!E6:E32)&gt;0)+(COUNT('평가자3'!E6:E32)&gt;0)+(COUNT('평가자4'!E6:E32)&gt;0)+(COUNT('평가자5'!E6:E32)&gt;0)),"")</f>
        <v/>
      </c>
      <c r="E8" s="12">
        <f>IFERROR(SUM('평가자1'!F21,'평가자2'!F21,'평가자3'!F21,'평가자4'!F21,'평가자5'!F21)/((COUNT('평가자1'!F6:F32)&gt;0)+(COUNT('평가자2'!F6:F32)&gt;0)+(COUNT('평가자3'!F6:F32)&gt;0)+(COUNT('평가자4'!F6:F32)&gt;0)+(COUNT('평가자5'!F6:F32)&gt;0)),"")</f>
        <v/>
      </c>
      <c r="F8" s="12">
        <f>IFERROR(SUM('평가자1'!G21,'평가자2'!G21,'평가자3'!G21,'평가자4'!G21,'평가자5'!G21)/((COUNT('평가자1'!G6:G32)&gt;0)+(COUNT('평가자2'!G6:G32)&gt;0)+(COUNT('평가자3'!G6:G32)&gt;0)+(COUNT('평가자4'!G6:G32)&gt;0)+(COUNT('평가자5'!G6:G32)&gt;0)),"")</f>
        <v/>
      </c>
      <c r="G8" s="12">
        <f>IFERROR(SUM('평가자1'!H21,'평가자2'!H21,'평가자3'!H21,'평가자4'!H21,'평가자5'!H21)/((COUNT('평가자1'!H6:H32)&gt;0)+(COUNT('평가자2'!H6:H32)&gt;0)+(COUNT('평가자3'!H6:H32)&gt;0)+(COUNT('평가자4'!H6:H32)&gt;0)+(COUNT('평가자5'!H6:H32)&gt;0)),"")</f>
        <v/>
      </c>
      <c r="H8" s="12">
        <f>IFERROR(SUM('평가자1'!I21,'평가자2'!I21,'평가자3'!I21,'평가자4'!I21,'평가자5'!I21)/((COUNT('평가자1'!I6:I32)&gt;0)+(COUNT('평가자2'!I6:I32)&gt;0)+(COUNT('평가자3'!I6:I32)&gt;0)+(COUNT('평가자4'!I6:I32)&gt;0)+(COUNT('평가자5'!I6:I32)&gt;0)),"")</f>
        <v/>
      </c>
      <c r="I8" s="12">
        <f>IFERROR(SUM('평가자1'!J21,'평가자2'!J21,'평가자3'!J21,'평가자4'!J21,'평가자5'!J21)/((COUNT('평가자1'!J6:J32)&gt;0)+(COUNT('평가자2'!J6:J32)&gt;0)+(COUNT('평가자3'!J6:J32)&gt;0)+(COUNT('평가자4'!J6:J32)&gt;0)+(COUNT('평가자5'!J6:J32)&gt;0)),"")</f>
        <v/>
      </c>
    </row>
    <row r="9">
      <c r="A9" s="4" t="inlineStr">
        <is>
          <t>등록·VIP·현장 운영</t>
        </is>
      </c>
      <c r="B9" s="5" t="n">
        <v>10</v>
      </c>
      <c r="C9" s="12">
        <f>IFERROR(SUM('평가자1'!D25,'평가자2'!D25,'평가자3'!D25,'평가자4'!D25,'평가자5'!D25)/((COUNT('평가자1'!D6:D32)&gt;0)+(COUNT('평가자2'!D6:D32)&gt;0)+(COUNT('평가자3'!D6:D32)&gt;0)+(COUNT('평가자4'!D6:D32)&gt;0)+(COUNT('평가자5'!D6:D32)&gt;0)),"")</f>
        <v/>
      </c>
      <c r="D9" s="12">
        <f>IFERROR(SUM('평가자1'!E25,'평가자2'!E25,'평가자3'!E25,'평가자4'!E25,'평가자5'!E25)/((COUNT('평가자1'!E6:E32)&gt;0)+(COUNT('평가자2'!E6:E32)&gt;0)+(COUNT('평가자3'!E6:E32)&gt;0)+(COUNT('평가자4'!E6:E32)&gt;0)+(COUNT('평가자5'!E6:E32)&gt;0)),"")</f>
        <v/>
      </c>
      <c r="E9" s="12">
        <f>IFERROR(SUM('평가자1'!F25,'평가자2'!F25,'평가자3'!F25,'평가자4'!F25,'평가자5'!F25)/((COUNT('평가자1'!F6:F32)&gt;0)+(COUNT('평가자2'!F6:F32)&gt;0)+(COUNT('평가자3'!F6:F32)&gt;0)+(COUNT('평가자4'!F6:F32)&gt;0)+(COUNT('평가자5'!F6:F32)&gt;0)),"")</f>
        <v/>
      </c>
      <c r="F9" s="12">
        <f>IFERROR(SUM('평가자1'!G25,'평가자2'!G25,'평가자3'!G25,'평가자4'!G25,'평가자5'!G25)/((COUNT('평가자1'!G6:G32)&gt;0)+(COUNT('평가자2'!G6:G32)&gt;0)+(COUNT('평가자3'!G6:G32)&gt;0)+(COUNT('평가자4'!G6:G32)&gt;0)+(COUNT('평가자5'!G6:G32)&gt;0)),"")</f>
        <v/>
      </c>
      <c r="G9" s="12">
        <f>IFERROR(SUM('평가자1'!H25,'평가자2'!H25,'평가자3'!H25,'평가자4'!H25,'평가자5'!H25)/((COUNT('평가자1'!H6:H32)&gt;0)+(COUNT('평가자2'!H6:H32)&gt;0)+(COUNT('평가자3'!H6:H32)&gt;0)+(COUNT('평가자4'!H6:H32)&gt;0)+(COUNT('평가자5'!H6:H32)&gt;0)),"")</f>
        <v/>
      </c>
      <c r="H9" s="12">
        <f>IFERROR(SUM('평가자1'!I25,'평가자2'!I25,'평가자3'!I25,'평가자4'!I25,'평가자5'!I25)/((COUNT('평가자1'!I6:I32)&gt;0)+(COUNT('평가자2'!I6:I32)&gt;0)+(COUNT('평가자3'!I6:I32)&gt;0)+(COUNT('평가자4'!I6:I32)&gt;0)+(COUNT('평가자5'!I6:I32)&gt;0)),"")</f>
        <v/>
      </c>
      <c r="I9" s="12">
        <f>IFERROR(SUM('평가자1'!J25,'평가자2'!J25,'평가자3'!J25,'평가자4'!J25,'평가자5'!J25)/((COUNT('평가자1'!J6:J32)&gt;0)+(COUNT('평가자2'!J6:J32)&gt;0)+(COUNT('평가자3'!J6:J32)&gt;0)+(COUNT('평가자4'!J6:J32)&gt;0)+(COUNT('평가자5'!J6:J32)&gt;0)),"")</f>
        <v/>
      </c>
    </row>
    <row r="10">
      <c r="A10" s="4" t="inlineStr">
        <is>
          <t>예산 합리성·투명성</t>
        </is>
      </c>
      <c r="B10" s="5" t="n">
        <v>10</v>
      </c>
      <c r="C10" s="12">
        <f>IFERROR(SUM('평가자1'!D29,'평가자2'!D29,'평가자3'!D29,'평가자4'!D29,'평가자5'!D29)/((COUNT('평가자1'!D6:D32)&gt;0)+(COUNT('평가자2'!D6:D32)&gt;0)+(COUNT('평가자3'!D6:D32)&gt;0)+(COUNT('평가자4'!D6:D32)&gt;0)+(COUNT('평가자5'!D6:D32)&gt;0)),"")</f>
        <v/>
      </c>
      <c r="D10" s="12">
        <f>IFERROR(SUM('평가자1'!E29,'평가자2'!E29,'평가자3'!E29,'평가자4'!E29,'평가자5'!E29)/((COUNT('평가자1'!E6:E32)&gt;0)+(COUNT('평가자2'!E6:E32)&gt;0)+(COUNT('평가자3'!E6:E32)&gt;0)+(COUNT('평가자4'!E6:E32)&gt;0)+(COUNT('평가자5'!E6:E32)&gt;0)),"")</f>
        <v/>
      </c>
      <c r="E10" s="12">
        <f>IFERROR(SUM('평가자1'!F29,'평가자2'!F29,'평가자3'!F29,'평가자4'!F29,'평가자5'!F29)/((COUNT('평가자1'!F6:F32)&gt;0)+(COUNT('평가자2'!F6:F32)&gt;0)+(COUNT('평가자3'!F6:F32)&gt;0)+(COUNT('평가자4'!F6:F32)&gt;0)+(COUNT('평가자5'!F6:F32)&gt;0)),"")</f>
        <v/>
      </c>
      <c r="F10" s="12">
        <f>IFERROR(SUM('평가자1'!G29,'평가자2'!G29,'평가자3'!G29,'평가자4'!G29,'평가자5'!G29)/((COUNT('평가자1'!G6:G32)&gt;0)+(COUNT('평가자2'!G6:G32)&gt;0)+(COUNT('평가자3'!G6:G32)&gt;0)+(COUNT('평가자4'!G6:G32)&gt;0)+(COUNT('평가자5'!G6:G32)&gt;0)),"")</f>
        <v/>
      </c>
      <c r="G10" s="12">
        <f>IFERROR(SUM('평가자1'!H29,'평가자2'!H29,'평가자3'!H29,'평가자4'!H29,'평가자5'!H29)/((COUNT('평가자1'!H6:H32)&gt;0)+(COUNT('평가자2'!H6:H32)&gt;0)+(COUNT('평가자3'!H6:H32)&gt;0)+(COUNT('평가자4'!H6:H32)&gt;0)+(COUNT('평가자5'!H6:H32)&gt;0)),"")</f>
        <v/>
      </c>
      <c r="H10" s="12">
        <f>IFERROR(SUM('평가자1'!I29,'평가자2'!I29,'평가자3'!I29,'평가자4'!I29,'평가자5'!I29)/((COUNT('평가자1'!I6:I32)&gt;0)+(COUNT('평가자2'!I6:I32)&gt;0)+(COUNT('평가자3'!I6:I32)&gt;0)+(COUNT('평가자4'!I6:I32)&gt;0)+(COUNT('평가자5'!I6:I32)&gt;0)),"")</f>
        <v/>
      </c>
      <c r="I10" s="12">
        <f>IFERROR(SUM('평가자1'!J29,'평가자2'!J29,'평가자3'!J29,'평가자4'!J29,'평가자5'!J29)/((COUNT('평가자1'!J6:J32)&gt;0)+(COUNT('평가자2'!J6:J32)&gt;0)+(COUNT('평가자3'!J6:J32)&gt;0)+(COUNT('평가자4'!J6:J32)&gt;0)+(COUNT('평가자5'!J6:J32)&gt;0)),"")</f>
        <v/>
      </c>
    </row>
    <row r="11">
      <c r="A11" s="4" t="inlineStr">
        <is>
          <t>디자인·영상 완성도</t>
        </is>
      </c>
      <c r="B11" s="5" t="n">
        <v>5</v>
      </c>
      <c r="C11" s="12">
        <f>IFERROR(SUM('평가자1'!D32,'평가자2'!D32,'평가자3'!D32,'평가자4'!D32,'평가자5'!D32)/((COUNT('평가자1'!D6:D32)&gt;0)+(COUNT('평가자2'!D6:D32)&gt;0)+(COUNT('평가자3'!D6:D32)&gt;0)+(COUNT('평가자4'!D6:D32)&gt;0)+(COUNT('평가자5'!D6:D32)&gt;0)),"")</f>
        <v/>
      </c>
      <c r="D11" s="12">
        <f>IFERROR(SUM('평가자1'!E32,'평가자2'!E32,'평가자3'!E32,'평가자4'!E32,'평가자5'!E32)/((COUNT('평가자1'!E6:E32)&gt;0)+(COUNT('평가자2'!E6:E32)&gt;0)+(COUNT('평가자3'!E6:E32)&gt;0)+(COUNT('평가자4'!E6:E32)&gt;0)+(COUNT('평가자5'!E6:E32)&gt;0)),"")</f>
        <v/>
      </c>
      <c r="E11" s="12">
        <f>IFERROR(SUM('평가자1'!F32,'평가자2'!F32,'평가자3'!F32,'평가자4'!F32,'평가자5'!F32)/((COUNT('평가자1'!F6:F32)&gt;0)+(COUNT('평가자2'!F6:F32)&gt;0)+(COUNT('평가자3'!F6:F32)&gt;0)+(COUNT('평가자4'!F6:F32)&gt;0)+(COUNT('평가자5'!F6:F32)&gt;0)),"")</f>
        <v/>
      </c>
      <c r="F11" s="12">
        <f>IFERROR(SUM('평가자1'!G32,'평가자2'!G32,'평가자3'!G32,'평가자4'!G32,'평가자5'!G32)/((COUNT('평가자1'!G6:G32)&gt;0)+(COUNT('평가자2'!G6:G32)&gt;0)+(COUNT('평가자3'!G6:G32)&gt;0)+(COUNT('평가자4'!G6:G32)&gt;0)+(COUNT('평가자5'!G6:G32)&gt;0)),"")</f>
        <v/>
      </c>
      <c r="G11" s="12">
        <f>IFERROR(SUM('평가자1'!H32,'평가자2'!H32,'평가자3'!H32,'평가자4'!H32,'평가자5'!H32)/((COUNT('평가자1'!H6:H32)&gt;0)+(COUNT('평가자2'!H6:H32)&gt;0)+(COUNT('평가자3'!H6:H32)&gt;0)+(COUNT('평가자4'!H6:H32)&gt;0)+(COUNT('평가자5'!H6:H32)&gt;0)),"")</f>
        <v/>
      </c>
      <c r="H11" s="12">
        <f>IFERROR(SUM('평가자1'!I32,'평가자2'!I32,'평가자3'!I32,'평가자4'!I32,'평가자5'!I32)/((COUNT('평가자1'!I6:I32)&gt;0)+(COUNT('평가자2'!I6:I32)&gt;0)+(COUNT('평가자3'!I6:I32)&gt;0)+(COUNT('평가자4'!I6:I32)&gt;0)+(COUNT('평가자5'!I6:I32)&gt;0)),"")</f>
        <v/>
      </c>
      <c r="I11" s="12">
        <f>IFERROR(SUM('평가자1'!J32,'평가자2'!J32,'평가자3'!J32,'평가자4'!J32,'평가자5'!J32)/((COUNT('평가자1'!J6:J32)&gt;0)+(COUNT('평가자2'!J6:J32)&gt;0)+(COUNT('평가자3'!J6:J32)&gt;0)+(COUNT('평가자4'!J6:J32)&gt;0)+(COUNT('평가자5'!J6:J32)&gt;0)),"")</f>
        <v/>
      </c>
    </row>
    <row r="12">
      <c r="A12" s="13" t="inlineStr">
        <is>
          <t>평균 총점</t>
        </is>
      </c>
      <c r="B12" s="14" t="n">
        <v>100</v>
      </c>
      <c r="C12" s="15">
        <f>IFERROR(SUM(C5:C11),"")</f>
        <v/>
      </c>
      <c r="D12" s="15">
        <f>IFERROR(SUM(D5:D11),"")</f>
        <v/>
      </c>
      <c r="E12" s="15">
        <f>IFERROR(SUM(E5:E11),"")</f>
        <v/>
      </c>
      <c r="F12" s="15">
        <f>IFERROR(SUM(F5:F11),"")</f>
        <v/>
      </c>
      <c r="G12" s="15">
        <f>IFERROR(SUM(G5:G11),"")</f>
        <v/>
      </c>
      <c r="H12" s="15">
        <f>IFERROR(SUM(H5:H11),"")</f>
        <v/>
      </c>
      <c r="I12" s="15">
        <f>IFERROR(SUM(I5:I11),"")</f>
        <v/>
      </c>
    </row>
    <row r="13">
      <c r="A13" s="4" t="inlineStr">
        <is>
          <t>순위</t>
        </is>
      </c>
      <c r="B13" s="11" t="inlineStr"/>
      <c r="C13" s="10">
        <f>IFERROR(RANK(C12,$C$12:$I$12),"")</f>
        <v/>
      </c>
      <c r="D13" s="10">
        <f>IFERROR(RANK(D12,$C$12:$I$12),"")</f>
        <v/>
      </c>
      <c r="E13" s="10">
        <f>IFERROR(RANK(E12,$C$12:$I$12),"")</f>
        <v/>
      </c>
      <c r="F13" s="10">
        <f>IFERROR(RANK(F12,$C$12:$I$12),"")</f>
        <v/>
      </c>
      <c r="G13" s="10">
        <f>IFERROR(RANK(G12,$C$12:$I$12),"")</f>
        <v/>
      </c>
      <c r="H13" s="10">
        <f>IFERROR(RANK(H12,$C$12:$I$12),"")</f>
        <v/>
      </c>
      <c r="I13" s="10">
        <f>IFERROR(RANK(I12,$C$12:$I$12),"")</f>
        <v/>
      </c>
    </row>
    <row r="14">
      <c r="A14" s="11" t="inlineStr">
        <is>
          <t>참여 평가자 수</t>
        </is>
      </c>
      <c r="B14" s="11" t="inlineStr"/>
      <c r="C14" s="5">
        <f>(COUNT('평가자1'!D6:D32)&gt;0)+(COUNT('평가자2'!D6:D32)&gt;0)+(COUNT('평가자3'!D6:D32)&gt;0)+(COUNT('평가자4'!D6:D32)&gt;0)+(COUNT('평가자5'!D6:D32)&gt;0)</f>
        <v/>
      </c>
      <c r="D14" s="5">
        <f>(COUNT('평가자1'!E6:E32)&gt;0)+(COUNT('평가자2'!E6:E32)&gt;0)+(COUNT('평가자3'!E6:E32)&gt;0)+(COUNT('평가자4'!E6:E32)&gt;0)+(COUNT('평가자5'!E6:E32)&gt;0)</f>
        <v/>
      </c>
      <c r="E14" s="5">
        <f>(COUNT('평가자1'!F6:F32)&gt;0)+(COUNT('평가자2'!F6:F32)&gt;0)+(COUNT('평가자3'!F6:F32)&gt;0)+(COUNT('평가자4'!F6:F32)&gt;0)+(COUNT('평가자5'!F6:F32)&gt;0)</f>
        <v/>
      </c>
      <c r="F14" s="5">
        <f>(COUNT('평가자1'!G6:G32)&gt;0)+(COUNT('평가자2'!G6:G32)&gt;0)+(COUNT('평가자3'!G6:G32)&gt;0)+(COUNT('평가자4'!G6:G32)&gt;0)+(COUNT('평가자5'!G6:G32)&gt;0)</f>
        <v/>
      </c>
      <c r="G14" s="5">
        <f>(COUNT('평가자1'!H6:H32)&gt;0)+(COUNT('평가자2'!H6:H32)&gt;0)+(COUNT('평가자3'!H6:H32)&gt;0)+(COUNT('평가자4'!H6:H32)&gt;0)+(COUNT('평가자5'!H6:H32)&gt;0)</f>
        <v/>
      </c>
      <c r="H14" s="5">
        <f>(COUNT('평가자1'!I6:I32)&gt;0)+(COUNT('평가자2'!I6:I32)&gt;0)+(COUNT('평가자3'!I6:I32)&gt;0)+(COUNT('평가자4'!I6:I32)&gt;0)+(COUNT('평가자5'!I6:I32)&gt;0)</f>
        <v/>
      </c>
      <c r="I14" s="5">
        <f>(COUNT('평가자1'!J6:J32)&gt;0)+(COUNT('평가자2'!J6:J32)&gt;0)+(COUNT('평가자3'!J6:J32)&gt;0)+(COUNT('평가자4'!J6:J32)&gt;0)+(COUNT('평가자5'!J6:J32)&gt;0)</f>
        <v/>
      </c>
    </row>
  </sheetData>
  <mergeCells count="2">
    <mergeCell ref="A1:I1"/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4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34" customWidth="1" min="2" max="2"/>
    <col width="7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 ht="30" customHeight="1">
      <c r="A1" s="1" t="inlineStr">
        <is>
          <t>평가표 — 평가자1</t>
        </is>
      </c>
    </row>
    <row r="2" ht="30" customHeight="1">
      <c r="A2" s="2" t="inlineStr">
        <is>
          <t>평가자 성함을 B3에 적고, 노란 칸에 업체별 점수(배점 이내)를 입력하세요. 배점 초과 시 빨간색으로 표시됩니다.</t>
        </is>
      </c>
    </row>
    <row r="3">
      <c r="A3" s="4" t="inlineStr">
        <is>
          <t>평가자</t>
        </is>
      </c>
      <c r="B3" s="16" t="inlineStr"/>
      <c r="C3" s="4" t="inlineStr">
        <is>
          <t>평가일</t>
        </is>
      </c>
      <c r="D3" s="16" t="inlineStr"/>
    </row>
    <row r="5">
      <c r="A5" s="3" t="inlineStr">
        <is>
          <t>코드</t>
        </is>
      </c>
      <c r="B5" s="3" t="inlineStr">
        <is>
          <t>세부 항목</t>
        </is>
      </c>
      <c r="C5" s="3" t="inlineStr">
        <is>
          <t>배점</t>
        </is>
      </c>
      <c r="D5" s="3" t="inlineStr">
        <is>
          <t>인터컴</t>
        </is>
      </c>
      <c r="E5" s="3" t="inlineStr">
        <is>
          <t>유니원</t>
        </is>
      </c>
      <c r="F5" s="3" t="inlineStr">
        <is>
          <t>FM</t>
        </is>
      </c>
      <c r="G5" s="3" t="inlineStr">
        <is>
          <t>플랜웍스</t>
        </is>
      </c>
      <c r="H5" s="3" t="inlineStr">
        <is>
          <t>이즈피엠피</t>
        </is>
      </c>
      <c r="I5" s="3" t="inlineStr">
        <is>
          <t>피플엑스</t>
        </is>
      </c>
      <c r="J5" s="3" t="inlineStr">
        <is>
          <t>이도플래닝</t>
        </is>
      </c>
    </row>
    <row r="6">
      <c r="A6" s="5" t="inlineStr">
        <is>
          <t>1-1</t>
        </is>
      </c>
      <c r="B6" s="7" t="inlineStr">
        <is>
          <t>창립 메시지 해석</t>
        </is>
      </c>
      <c r="C6" s="5" t="n">
        <v>10</v>
      </c>
      <c r="D6" s="17" t="n"/>
      <c r="E6" s="17" t="n"/>
      <c r="F6" s="17" t="n"/>
      <c r="G6" s="17" t="n"/>
      <c r="H6" s="17" t="n"/>
      <c r="I6" s="17" t="n"/>
      <c r="J6" s="17" t="n"/>
    </row>
    <row r="7">
      <c r="A7" s="5" t="inlineStr">
        <is>
          <t>1-2</t>
        </is>
      </c>
      <c r="B7" s="7" t="inlineStr">
        <is>
          <t>오프닝·세리머니 차별화</t>
        </is>
      </c>
      <c r="C7" s="5" t="n">
        <v>10</v>
      </c>
      <c r="D7" s="17" t="n"/>
      <c r="E7" s="17" t="n"/>
      <c r="F7" s="17" t="n"/>
      <c r="G7" s="17" t="n"/>
      <c r="H7" s="17" t="n"/>
      <c r="I7" s="17" t="n"/>
      <c r="J7" s="17" t="n"/>
    </row>
    <row r="8">
      <c r="A8" s="5" t="inlineStr">
        <is>
          <t>1-3</t>
        </is>
      </c>
      <c r="B8" s="7" t="inlineStr">
        <is>
          <t>동문 정체성·세대 연결</t>
        </is>
      </c>
      <c r="C8" s="5" t="n">
        <v>5</v>
      </c>
      <c r="D8" s="17" t="n"/>
      <c r="E8" s="17" t="n"/>
      <c r="F8" s="17" t="n"/>
      <c r="G8" s="17" t="n"/>
      <c r="H8" s="17" t="n"/>
      <c r="I8" s="17" t="n"/>
      <c r="J8" s="17" t="n"/>
    </row>
    <row r="9">
      <c r="A9" s="11" t="inlineStr"/>
      <c r="B9" s="4" t="inlineStr">
        <is>
          <t>소계 · 행사 콘셉트·창의성</t>
        </is>
      </c>
      <c r="C9" s="18" t="n">
        <v>25</v>
      </c>
      <c r="D9" s="18">
        <f>SUM(D6:D8)</f>
        <v/>
      </c>
      <c r="E9" s="18">
        <f>SUM(E6:E8)</f>
        <v/>
      </c>
      <c r="F9" s="18">
        <f>SUM(F6:F8)</f>
        <v/>
      </c>
      <c r="G9" s="18">
        <f>SUM(G6:G8)</f>
        <v/>
      </c>
      <c r="H9" s="18">
        <f>SUM(H6:H8)</f>
        <v/>
      </c>
      <c r="I9" s="18">
        <f>SUM(I6:I8)</f>
        <v/>
      </c>
      <c r="J9" s="18">
        <f>SUM(J6:J8)</f>
        <v/>
      </c>
    </row>
    <row r="10">
      <c r="A10" s="5" t="inlineStr">
        <is>
          <t>2-1</t>
        </is>
      </c>
      <c r="B10" s="7" t="inlineStr">
        <is>
          <t>500~1,000명 호텔 갈라·창립식 실적</t>
        </is>
      </c>
      <c r="C10" s="5" t="n">
        <v>10</v>
      </c>
      <c r="D10" s="17" t="n"/>
      <c r="E10" s="17" t="n"/>
      <c r="F10" s="17" t="n"/>
      <c r="G10" s="17" t="n"/>
      <c r="H10" s="17" t="n"/>
      <c r="I10" s="17" t="n"/>
      <c r="J10" s="17" t="n"/>
    </row>
    <row r="11">
      <c r="A11" s="5" t="inlineStr">
        <is>
          <t>2-2</t>
        </is>
      </c>
      <c r="B11" s="7" t="inlineStr">
        <is>
          <t>그랜드 하얏트·Encore 경험</t>
        </is>
      </c>
      <c r="C11" s="5" t="n">
        <v>5</v>
      </c>
      <c r="D11" s="17" t="n"/>
      <c r="E11" s="17" t="n"/>
      <c r="F11" s="17" t="n"/>
      <c r="G11" s="17" t="n"/>
      <c r="H11" s="17" t="n"/>
      <c r="I11" s="17" t="n"/>
      <c r="J11" s="17" t="n"/>
    </row>
    <row r="12">
      <c r="A12" s="5" t="inlineStr">
        <is>
          <t>2-3</t>
        </is>
      </c>
      <c r="B12" s="7" t="inlineStr">
        <is>
          <t>레퍼런스 검증 가능성</t>
        </is>
      </c>
      <c r="C12" s="5" t="n">
        <v>5</v>
      </c>
      <c r="D12" s="17" t="n"/>
      <c r="E12" s="17" t="n"/>
      <c r="F12" s="17" t="n"/>
      <c r="G12" s="17" t="n"/>
      <c r="H12" s="17" t="n"/>
      <c r="I12" s="17" t="n"/>
      <c r="J12" s="17" t="n"/>
    </row>
    <row r="13">
      <c r="A13" s="11" t="inlineStr"/>
      <c r="B13" s="4" t="inlineStr">
        <is>
          <t>소계 · 유사 행사 실적</t>
        </is>
      </c>
      <c r="C13" s="18" t="n">
        <v>20</v>
      </c>
      <c r="D13" s="18">
        <f>SUM(D10:D12)</f>
        <v/>
      </c>
      <c r="E13" s="18">
        <f>SUM(E10:E12)</f>
        <v/>
      </c>
      <c r="F13" s="18">
        <f>SUM(F10:F12)</f>
        <v/>
      </c>
      <c r="G13" s="18">
        <f>SUM(G10:G12)</f>
        <v/>
      </c>
      <c r="H13" s="18">
        <f>SUM(H10:H12)</f>
        <v/>
      </c>
      <c r="I13" s="18">
        <f>SUM(I10:I12)</f>
        <v/>
      </c>
      <c r="J13" s="18">
        <f>SUM(J10:J12)</f>
        <v/>
      </c>
    </row>
    <row r="14">
      <c r="A14" s="5" t="inlineStr">
        <is>
          <t>3-1</t>
        </is>
      </c>
      <c r="B14" s="7" t="inlineStr">
        <is>
          <t>3시간 구성 균형</t>
        </is>
      </c>
      <c r="C14" s="5" t="n">
        <v>8</v>
      </c>
      <c r="D14" s="17" t="n"/>
      <c r="E14" s="17" t="n"/>
      <c r="F14" s="17" t="n"/>
      <c r="G14" s="17" t="n"/>
      <c r="H14" s="17" t="n"/>
      <c r="I14" s="17" t="n"/>
      <c r="J14" s="17" t="n"/>
    </row>
    <row r="15">
      <c r="A15" s="5" t="inlineStr">
        <is>
          <t>3-2</t>
        </is>
      </c>
      <c r="B15" s="7" t="inlineStr">
        <is>
          <t>시나리오·큐시트 완성도</t>
        </is>
      </c>
      <c r="C15" s="5" t="n">
        <v>4</v>
      </c>
      <c r="D15" s="17" t="n"/>
      <c r="E15" s="17" t="n"/>
      <c r="F15" s="17" t="n"/>
      <c r="G15" s="17" t="n"/>
      <c r="H15" s="17" t="n"/>
      <c r="I15" s="17" t="n"/>
      <c r="J15" s="17" t="n"/>
    </row>
    <row r="16">
      <c r="A16" s="5" t="inlineStr">
        <is>
          <t>3-3</t>
        </is>
      </c>
      <c r="B16" s="7" t="inlineStr">
        <is>
          <t>특별 강연 세션 연출</t>
        </is>
      </c>
      <c r="C16" s="5" t="n">
        <v>3</v>
      </c>
      <c r="D16" s="17" t="n"/>
      <c r="E16" s="17" t="n"/>
      <c r="F16" s="17" t="n"/>
      <c r="G16" s="17" t="n"/>
      <c r="H16" s="17" t="n"/>
      <c r="I16" s="17" t="n"/>
      <c r="J16" s="17" t="n"/>
    </row>
    <row r="17">
      <c r="A17" s="11" t="inlineStr"/>
      <c r="B17" s="4" t="inlineStr">
        <is>
          <t>소계 · 프로그램·스토리텔링</t>
        </is>
      </c>
      <c r="C17" s="18" t="n">
        <v>15</v>
      </c>
      <c r="D17" s="18">
        <f>SUM(D14:D16)</f>
        <v/>
      </c>
      <c r="E17" s="18">
        <f>SUM(E14:E16)</f>
        <v/>
      </c>
      <c r="F17" s="18">
        <f>SUM(F14:F16)</f>
        <v/>
      </c>
      <c r="G17" s="18">
        <f>SUM(G14:G16)</f>
        <v/>
      </c>
      <c r="H17" s="18">
        <f>SUM(H14:H16)</f>
        <v/>
      </c>
      <c r="I17" s="18">
        <f>SUM(I14:I16)</f>
        <v/>
      </c>
      <c r="J17" s="18">
        <f>SUM(J14:J16)</f>
        <v/>
      </c>
    </row>
    <row r="18">
      <c r="A18" s="5" t="inlineStr">
        <is>
          <t>4-1</t>
        </is>
      </c>
      <c r="B18" s="7" t="inlineStr">
        <is>
          <t>총괄 PM 경력·투입률</t>
        </is>
      </c>
      <c r="C18" s="5" t="n">
        <v>8</v>
      </c>
      <c r="D18" s="17" t="n"/>
      <c r="E18" s="17" t="n"/>
      <c r="F18" s="17" t="n"/>
      <c r="G18" s="17" t="n"/>
      <c r="H18" s="17" t="n"/>
      <c r="I18" s="17" t="n"/>
      <c r="J18" s="17" t="n"/>
    </row>
    <row r="19">
      <c r="A19" s="5" t="inlineStr">
        <is>
          <t>4-2</t>
        </is>
      </c>
      <c r="B19" s="7" t="inlineStr">
        <is>
          <t>핵심 팀 구성</t>
        </is>
      </c>
      <c r="C19" s="5" t="n">
        <v>4</v>
      </c>
      <c r="D19" s="17" t="n"/>
      <c r="E19" s="17" t="n"/>
      <c r="F19" s="17" t="n"/>
      <c r="G19" s="17" t="n"/>
      <c r="H19" s="17" t="n"/>
      <c r="I19" s="17" t="n"/>
      <c r="J19" s="17" t="n"/>
    </row>
    <row r="20">
      <c r="A20" s="5" t="inlineStr">
        <is>
          <t>4-3</t>
        </is>
      </c>
      <c r="B20" s="7" t="inlineStr">
        <is>
          <t>사내 제작 비중·외주 관리</t>
        </is>
      </c>
      <c r="C20" s="5" t="n">
        <v>3</v>
      </c>
      <c r="D20" s="17" t="n"/>
      <c r="E20" s="17" t="n"/>
      <c r="F20" s="17" t="n"/>
      <c r="G20" s="17" t="n"/>
      <c r="H20" s="17" t="n"/>
      <c r="I20" s="17" t="n"/>
      <c r="J20" s="17" t="n"/>
    </row>
    <row r="21">
      <c r="A21" s="11" t="inlineStr"/>
      <c r="B21" s="4" t="inlineStr">
        <is>
          <t>소계 · 실제 투입 PM·팀</t>
        </is>
      </c>
      <c r="C21" s="18" t="n">
        <v>15</v>
      </c>
      <c r="D21" s="18">
        <f>SUM(D18:D20)</f>
        <v/>
      </c>
      <c r="E21" s="18">
        <f>SUM(E18:E20)</f>
        <v/>
      </c>
      <c r="F21" s="18">
        <f>SUM(F18:F20)</f>
        <v/>
      </c>
      <c r="G21" s="18">
        <f>SUM(G18:G20)</f>
        <v/>
      </c>
      <c r="H21" s="18">
        <f>SUM(H18:H20)</f>
        <v/>
      </c>
      <c r="I21" s="18">
        <f>SUM(I18:I20)</f>
        <v/>
      </c>
      <c r="J21" s="18">
        <f>SUM(J18:J20)</f>
        <v/>
      </c>
    </row>
    <row r="22">
      <c r="A22" s="5" t="inlineStr">
        <is>
          <t>5-1</t>
        </is>
      </c>
      <c r="B22" s="7" t="inlineStr">
        <is>
          <t>등록·RSVP·QR 및 홈페이지 연계</t>
        </is>
      </c>
      <c r="C22" s="5" t="n">
        <v>4</v>
      </c>
      <c r="D22" s="17" t="n"/>
      <c r="E22" s="17" t="n"/>
      <c r="F22" s="17" t="n"/>
      <c r="G22" s="17" t="n"/>
      <c r="H22" s="17" t="n"/>
      <c r="I22" s="17" t="n"/>
      <c r="J22" s="17" t="n"/>
    </row>
    <row r="23">
      <c r="A23" s="5" t="inlineStr">
        <is>
          <t>5-2</t>
        </is>
      </c>
      <c r="B23" s="7" t="inlineStr">
        <is>
          <t>VIP 의전·좌석·동선</t>
        </is>
      </c>
      <c r="C23" s="5" t="n">
        <v>3</v>
      </c>
      <c r="D23" s="17" t="n"/>
      <c r="E23" s="17" t="n"/>
      <c r="F23" s="17" t="n"/>
      <c r="G23" s="17" t="n"/>
      <c r="H23" s="17" t="n"/>
      <c r="I23" s="17" t="n"/>
      <c r="J23" s="17" t="n"/>
    </row>
    <row r="24">
      <c r="A24" s="5" t="inlineStr">
        <is>
          <t>5-3</t>
        </is>
      </c>
      <c r="B24" s="7" t="inlineStr">
        <is>
          <t>15:00 셋업·리허설·안전</t>
        </is>
      </c>
      <c r="C24" s="5" t="n">
        <v>3</v>
      </c>
      <c r="D24" s="17" t="n"/>
      <c r="E24" s="17" t="n"/>
      <c r="F24" s="17" t="n"/>
      <c r="G24" s="17" t="n"/>
      <c r="H24" s="17" t="n"/>
      <c r="I24" s="17" t="n"/>
      <c r="J24" s="17" t="n"/>
    </row>
    <row r="25">
      <c r="A25" s="11" t="inlineStr"/>
      <c r="B25" s="4" t="inlineStr">
        <is>
          <t>소계 · 등록·VIP·현장 운영</t>
        </is>
      </c>
      <c r="C25" s="18" t="n">
        <v>10</v>
      </c>
      <c r="D25" s="18">
        <f>SUM(D22:D24)</f>
        <v/>
      </c>
      <c r="E25" s="18">
        <f>SUM(E22:E24)</f>
        <v/>
      </c>
      <c r="F25" s="18">
        <f>SUM(F22:F24)</f>
        <v/>
      </c>
      <c r="G25" s="18">
        <f>SUM(G22:G24)</f>
        <v/>
      </c>
      <c r="H25" s="18">
        <f>SUM(H22:H24)</f>
        <v/>
      </c>
      <c r="I25" s="18">
        <f>SUM(I22:I24)</f>
        <v/>
      </c>
      <c r="J25" s="18">
        <f>SUM(J22:J24)</f>
        <v/>
      </c>
    </row>
    <row r="26">
      <c r="A26" s="5" t="inlineStr">
        <is>
          <t>6-1</t>
        </is>
      </c>
      <c r="B26" s="7" t="inlineStr">
        <is>
          <t>예산 범위 적합성</t>
        </is>
      </c>
      <c r="C26" s="5" t="n">
        <v>4</v>
      </c>
      <c r="D26" s="17" t="n"/>
      <c r="E26" s="17" t="n"/>
      <c r="F26" s="17" t="n"/>
      <c r="G26" s="17" t="n"/>
      <c r="H26" s="17" t="n"/>
      <c r="I26" s="17" t="n"/>
      <c r="J26" s="17" t="n"/>
    </row>
    <row r="27">
      <c r="A27" s="5" t="inlineStr">
        <is>
          <t>6-2</t>
        </is>
      </c>
      <c r="B27" s="7" t="inlineStr">
        <is>
          <t>산출 근거·구분</t>
        </is>
      </c>
      <c r="C27" s="5" t="n">
        <v>4</v>
      </c>
      <c r="D27" s="17" t="n"/>
      <c r="E27" s="17" t="n"/>
      <c r="F27" s="17" t="n"/>
      <c r="G27" s="17" t="n"/>
      <c r="H27" s="17" t="n"/>
      <c r="I27" s="17" t="n"/>
      <c r="J27" s="17" t="n"/>
    </row>
    <row r="28">
      <c r="A28" s="5" t="inlineStr">
        <is>
          <t>6-3</t>
        </is>
      </c>
      <c r="B28" s="7" t="inlineStr">
        <is>
          <t>인원 증감·옵션 분리</t>
        </is>
      </c>
      <c r="C28" s="5" t="n">
        <v>2</v>
      </c>
      <c r="D28" s="17" t="n"/>
      <c r="E28" s="17" t="n"/>
      <c r="F28" s="17" t="n"/>
      <c r="G28" s="17" t="n"/>
      <c r="H28" s="17" t="n"/>
      <c r="I28" s="17" t="n"/>
      <c r="J28" s="17" t="n"/>
    </row>
    <row r="29">
      <c r="A29" s="11" t="inlineStr"/>
      <c r="B29" s="4" t="inlineStr">
        <is>
          <t>소계 · 예산 합리성·투명성</t>
        </is>
      </c>
      <c r="C29" s="18" t="n">
        <v>10</v>
      </c>
      <c r="D29" s="18">
        <f>SUM(D26:D28)</f>
        <v/>
      </c>
      <c r="E29" s="18">
        <f>SUM(E26:E28)</f>
        <v/>
      </c>
      <c r="F29" s="18">
        <f>SUM(F26:F28)</f>
        <v/>
      </c>
      <c r="G29" s="18">
        <f>SUM(G26:G28)</f>
        <v/>
      </c>
      <c r="H29" s="18">
        <f>SUM(H26:H28)</f>
        <v/>
      </c>
      <c r="I29" s="18">
        <f>SUM(I26:I28)</f>
        <v/>
      </c>
      <c r="J29" s="18">
        <f>SUM(J26:J28)</f>
        <v/>
      </c>
    </row>
    <row r="30">
      <c r="A30" s="5" t="inlineStr">
        <is>
          <t>7-1</t>
        </is>
      </c>
      <c r="B30" s="7" t="inlineStr">
        <is>
          <t>키비주얼·포트폴리오 품질</t>
        </is>
      </c>
      <c r="C30" s="5" t="n">
        <v>3</v>
      </c>
      <c r="D30" s="17" t="n"/>
      <c r="E30" s="17" t="n"/>
      <c r="F30" s="17" t="n"/>
      <c r="G30" s="17" t="n"/>
      <c r="H30" s="17" t="n"/>
      <c r="I30" s="17" t="n"/>
      <c r="J30" s="17" t="n"/>
    </row>
    <row r="31">
      <c r="A31" s="5" t="inlineStr">
        <is>
          <t>7-2</t>
        </is>
      </c>
      <c r="B31" s="7" t="inlineStr">
        <is>
          <t>오프닝 영상 제안</t>
        </is>
      </c>
      <c r="C31" s="5" t="n">
        <v>2</v>
      </c>
      <c r="D31" s="17" t="n"/>
      <c r="E31" s="17" t="n"/>
      <c r="F31" s="17" t="n"/>
      <c r="G31" s="17" t="n"/>
      <c r="H31" s="17" t="n"/>
      <c r="I31" s="17" t="n"/>
      <c r="J31" s="17" t="n"/>
    </row>
    <row r="32">
      <c r="A32" s="11" t="inlineStr"/>
      <c r="B32" s="4" t="inlineStr">
        <is>
          <t>소계 · 디자인·영상 완성도</t>
        </is>
      </c>
      <c r="C32" s="18" t="n">
        <v>5</v>
      </c>
      <c r="D32" s="18">
        <f>SUM(D30:D31)</f>
        <v/>
      </c>
      <c r="E32" s="18">
        <f>SUM(E30:E31)</f>
        <v/>
      </c>
      <c r="F32" s="18">
        <f>SUM(F30:F31)</f>
        <v/>
      </c>
      <c r="G32" s="18">
        <f>SUM(G30:G31)</f>
        <v/>
      </c>
      <c r="H32" s="18">
        <f>SUM(H30:H31)</f>
        <v/>
      </c>
      <c r="I32" s="18">
        <f>SUM(I30:I31)</f>
        <v/>
      </c>
      <c r="J32" s="18">
        <f>SUM(J30:J31)</f>
        <v/>
      </c>
    </row>
    <row r="33">
      <c r="B33" s="13" t="inlineStr">
        <is>
          <t>총점 (100)</t>
        </is>
      </c>
      <c r="C33" s="14" t="n">
        <v>100</v>
      </c>
      <c r="D33" s="14">
        <f>D9+D13+D17+D21+D25+D29+D32</f>
        <v/>
      </c>
      <c r="E33" s="14">
        <f>E9+E13+E17+E21+E25+E29+E32</f>
        <v/>
      </c>
      <c r="F33" s="14">
        <f>F9+F13+F17+F21+F25+F29+F32</f>
        <v/>
      </c>
      <c r="G33" s="14">
        <f>G9+G13+G17+G21+G25+G29+G32</f>
        <v/>
      </c>
      <c r="H33" s="14">
        <f>H9+H13+H17+H21+H25+H29+H32</f>
        <v/>
      </c>
      <c r="I33" s="14">
        <f>I9+I13+I17+I21+I25+I29+I32</f>
        <v/>
      </c>
      <c r="J33" s="14">
        <f>J9+J13+J17+J21+J25+J29+J32</f>
        <v/>
      </c>
    </row>
    <row r="35">
      <c r="A35" s="5" t="inlineStr">
        <is>
          <t>G1</t>
        </is>
      </c>
      <c r="B35" s="7" t="inlineStr">
        <is>
          <t>2027.4.16 현장 운영 가능</t>
        </is>
      </c>
      <c r="C35" s="19" t="inlineStr">
        <is>
          <t>예/아니오</t>
        </is>
      </c>
      <c r="D35" s="17" t="n"/>
      <c r="E35" s="17" t="n"/>
      <c r="F35" s="17" t="n"/>
      <c r="G35" s="17" t="n"/>
      <c r="H35" s="17" t="n"/>
      <c r="I35" s="17" t="n"/>
      <c r="J35" s="17" t="n"/>
    </row>
    <row r="36">
      <c r="A36" s="5" t="inlineStr">
        <is>
          <t>G2</t>
        </is>
      </c>
      <c r="B36" s="7" t="inlineStr">
        <is>
          <t>호텔 60일 전 통보·사전 승인 이행 동의</t>
        </is>
      </c>
      <c r="C36" s="19" t="inlineStr">
        <is>
          <t>예/아니오</t>
        </is>
      </c>
      <c r="D36" s="17" t="n"/>
      <c r="E36" s="17" t="n"/>
      <c r="F36" s="17" t="n"/>
      <c r="G36" s="17" t="n"/>
      <c r="H36" s="17" t="n"/>
      <c r="I36" s="17" t="n"/>
      <c r="J36" s="17" t="n"/>
    </row>
    <row r="37">
      <c r="A37" s="5" t="inlineStr">
        <is>
          <t>G3</t>
        </is>
      </c>
      <c r="B37" s="7" t="inlineStr">
        <is>
          <t>VAT 포함·별도 금액 모두 제출</t>
        </is>
      </c>
      <c r="C37" s="19" t="inlineStr">
        <is>
          <t>예/아니오</t>
        </is>
      </c>
      <c r="D37" s="17" t="n"/>
      <c r="E37" s="17" t="n"/>
      <c r="F37" s="17" t="n"/>
      <c r="G37" s="17" t="n"/>
      <c r="H37" s="17" t="n"/>
      <c r="I37" s="17" t="n"/>
      <c r="J37" s="17" t="n"/>
    </row>
    <row r="38">
      <c r="A38" s="5" t="inlineStr">
        <is>
          <t>G4</t>
        </is>
      </c>
      <c r="B38" s="7" t="inlineStr">
        <is>
          <t>핵심 인력 실투입 확약</t>
        </is>
      </c>
      <c r="C38" s="19" t="inlineStr">
        <is>
          <t>예/아니오</t>
        </is>
      </c>
      <c r="D38" s="17" t="n"/>
      <c r="E38" s="17" t="n"/>
      <c r="F38" s="17" t="n"/>
      <c r="G38" s="17" t="n"/>
      <c r="H38" s="17" t="n"/>
      <c r="I38" s="17" t="n"/>
      <c r="J38" s="17" t="n"/>
    </row>
    <row r="39">
      <c r="A39" s="5" t="inlineStr">
        <is>
          <t>G5</t>
        </is>
      </c>
      <c r="B39" s="7" t="inlineStr">
        <is>
          <t>참석자 개인정보 처리 방안 제출</t>
        </is>
      </c>
      <c r="C39" s="19" t="inlineStr">
        <is>
          <t>예/아니오</t>
        </is>
      </c>
      <c r="D39" s="17" t="n"/>
      <c r="E39" s="17" t="n"/>
      <c r="F39" s="17" t="n"/>
      <c r="G39" s="17" t="n"/>
      <c r="H39" s="17" t="n"/>
      <c r="I39" s="17" t="n"/>
      <c r="J39" s="17" t="n"/>
    </row>
    <row r="41">
      <c r="A41" s="4" t="inlineStr">
        <is>
          <t>의견</t>
        </is>
      </c>
      <c r="D41" s="16" t="n"/>
      <c r="E41" s="16" t="n"/>
      <c r="F41" s="16" t="n"/>
      <c r="G41" s="16" t="n"/>
      <c r="H41" s="16" t="n"/>
      <c r="I41" s="16" t="n"/>
      <c r="J41" s="16" t="n"/>
    </row>
    <row r="42"/>
    <row r="43"/>
    <row r="44"/>
  </sheetData>
  <mergeCells count="9">
    <mergeCell ref="H41:H44"/>
    <mergeCell ref="D41:D44"/>
    <mergeCell ref="A2:K2"/>
    <mergeCell ref="J41:J44"/>
    <mergeCell ref="E41:E44"/>
    <mergeCell ref="F41:F44"/>
    <mergeCell ref="A1:K1"/>
    <mergeCell ref="I41:I44"/>
    <mergeCell ref="G41:G44"/>
  </mergeCells>
  <conditionalFormatting sqref="D6:J32">
    <cfRule type="cellIs" priority="1" operator="greaterThan" dxfId="0">
      <formula>$C6</formula>
    </cfRule>
  </conditionalFormatting>
  <dataValidations count="1">
    <dataValidation sqref="D35:J39" showDropDown="0" showInputMessage="0" showErrorMessage="0" allowBlank="1" type="list">
      <formula1>"예,아니오"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4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34" customWidth="1" min="2" max="2"/>
    <col width="7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 ht="30" customHeight="1">
      <c r="A1" s="1" t="inlineStr">
        <is>
          <t>평가표 — 평가자2</t>
        </is>
      </c>
    </row>
    <row r="2" ht="30" customHeight="1">
      <c r="A2" s="2" t="inlineStr">
        <is>
          <t>평가자 성함을 B3에 적고, 노란 칸에 업체별 점수(배점 이내)를 입력하세요. 배점 초과 시 빨간색으로 표시됩니다.</t>
        </is>
      </c>
    </row>
    <row r="3">
      <c r="A3" s="4" t="inlineStr">
        <is>
          <t>평가자</t>
        </is>
      </c>
      <c r="B3" s="16" t="inlineStr"/>
      <c r="C3" s="4" t="inlineStr">
        <is>
          <t>평가일</t>
        </is>
      </c>
      <c r="D3" s="16" t="inlineStr"/>
    </row>
    <row r="5">
      <c r="A5" s="3" t="inlineStr">
        <is>
          <t>코드</t>
        </is>
      </c>
      <c r="B5" s="3" t="inlineStr">
        <is>
          <t>세부 항목</t>
        </is>
      </c>
      <c r="C5" s="3" t="inlineStr">
        <is>
          <t>배점</t>
        </is>
      </c>
      <c r="D5" s="3" t="inlineStr">
        <is>
          <t>인터컴</t>
        </is>
      </c>
      <c r="E5" s="3" t="inlineStr">
        <is>
          <t>유니원</t>
        </is>
      </c>
      <c r="F5" s="3" t="inlineStr">
        <is>
          <t>FM</t>
        </is>
      </c>
      <c r="G5" s="3" t="inlineStr">
        <is>
          <t>플랜웍스</t>
        </is>
      </c>
      <c r="H5" s="3" t="inlineStr">
        <is>
          <t>이즈피엠피</t>
        </is>
      </c>
      <c r="I5" s="3" t="inlineStr">
        <is>
          <t>피플엑스</t>
        </is>
      </c>
      <c r="J5" s="3" t="inlineStr">
        <is>
          <t>이도플래닝</t>
        </is>
      </c>
    </row>
    <row r="6">
      <c r="A6" s="5" t="inlineStr">
        <is>
          <t>1-1</t>
        </is>
      </c>
      <c r="B6" s="7" t="inlineStr">
        <is>
          <t>창립 메시지 해석</t>
        </is>
      </c>
      <c r="C6" s="5" t="n">
        <v>10</v>
      </c>
      <c r="D6" s="17" t="n"/>
      <c r="E6" s="17" t="n"/>
      <c r="F6" s="17" t="n"/>
      <c r="G6" s="17" t="n"/>
      <c r="H6" s="17" t="n"/>
      <c r="I6" s="17" t="n"/>
      <c r="J6" s="17" t="n"/>
    </row>
    <row r="7">
      <c r="A7" s="5" t="inlineStr">
        <is>
          <t>1-2</t>
        </is>
      </c>
      <c r="B7" s="7" t="inlineStr">
        <is>
          <t>오프닝·세리머니 차별화</t>
        </is>
      </c>
      <c r="C7" s="5" t="n">
        <v>10</v>
      </c>
      <c r="D7" s="17" t="n"/>
      <c r="E7" s="17" t="n"/>
      <c r="F7" s="17" t="n"/>
      <c r="G7" s="17" t="n"/>
      <c r="H7" s="17" t="n"/>
      <c r="I7" s="17" t="n"/>
      <c r="J7" s="17" t="n"/>
    </row>
    <row r="8">
      <c r="A8" s="5" t="inlineStr">
        <is>
          <t>1-3</t>
        </is>
      </c>
      <c r="B8" s="7" t="inlineStr">
        <is>
          <t>동문 정체성·세대 연결</t>
        </is>
      </c>
      <c r="C8" s="5" t="n">
        <v>5</v>
      </c>
      <c r="D8" s="17" t="n"/>
      <c r="E8" s="17" t="n"/>
      <c r="F8" s="17" t="n"/>
      <c r="G8" s="17" t="n"/>
      <c r="H8" s="17" t="n"/>
      <c r="I8" s="17" t="n"/>
      <c r="J8" s="17" t="n"/>
    </row>
    <row r="9">
      <c r="A9" s="11" t="inlineStr"/>
      <c r="B9" s="4" t="inlineStr">
        <is>
          <t>소계 · 행사 콘셉트·창의성</t>
        </is>
      </c>
      <c r="C9" s="18" t="n">
        <v>25</v>
      </c>
      <c r="D9" s="18">
        <f>SUM(D6:D8)</f>
        <v/>
      </c>
      <c r="E9" s="18">
        <f>SUM(E6:E8)</f>
        <v/>
      </c>
      <c r="F9" s="18">
        <f>SUM(F6:F8)</f>
        <v/>
      </c>
      <c r="G9" s="18">
        <f>SUM(G6:G8)</f>
        <v/>
      </c>
      <c r="H9" s="18">
        <f>SUM(H6:H8)</f>
        <v/>
      </c>
      <c r="I9" s="18">
        <f>SUM(I6:I8)</f>
        <v/>
      </c>
      <c r="J9" s="18">
        <f>SUM(J6:J8)</f>
        <v/>
      </c>
    </row>
    <row r="10">
      <c r="A10" s="5" t="inlineStr">
        <is>
          <t>2-1</t>
        </is>
      </c>
      <c r="B10" s="7" t="inlineStr">
        <is>
          <t>500~1,000명 호텔 갈라·창립식 실적</t>
        </is>
      </c>
      <c r="C10" s="5" t="n">
        <v>10</v>
      </c>
      <c r="D10" s="17" t="n"/>
      <c r="E10" s="17" t="n"/>
      <c r="F10" s="17" t="n"/>
      <c r="G10" s="17" t="n"/>
      <c r="H10" s="17" t="n"/>
      <c r="I10" s="17" t="n"/>
      <c r="J10" s="17" t="n"/>
    </row>
    <row r="11">
      <c r="A11" s="5" t="inlineStr">
        <is>
          <t>2-2</t>
        </is>
      </c>
      <c r="B11" s="7" t="inlineStr">
        <is>
          <t>그랜드 하얏트·Encore 경험</t>
        </is>
      </c>
      <c r="C11" s="5" t="n">
        <v>5</v>
      </c>
      <c r="D11" s="17" t="n"/>
      <c r="E11" s="17" t="n"/>
      <c r="F11" s="17" t="n"/>
      <c r="G11" s="17" t="n"/>
      <c r="H11" s="17" t="n"/>
      <c r="I11" s="17" t="n"/>
      <c r="J11" s="17" t="n"/>
    </row>
    <row r="12">
      <c r="A12" s="5" t="inlineStr">
        <is>
          <t>2-3</t>
        </is>
      </c>
      <c r="B12" s="7" t="inlineStr">
        <is>
          <t>레퍼런스 검증 가능성</t>
        </is>
      </c>
      <c r="C12" s="5" t="n">
        <v>5</v>
      </c>
      <c r="D12" s="17" t="n"/>
      <c r="E12" s="17" t="n"/>
      <c r="F12" s="17" t="n"/>
      <c r="G12" s="17" t="n"/>
      <c r="H12" s="17" t="n"/>
      <c r="I12" s="17" t="n"/>
      <c r="J12" s="17" t="n"/>
    </row>
    <row r="13">
      <c r="A13" s="11" t="inlineStr"/>
      <c r="B13" s="4" t="inlineStr">
        <is>
          <t>소계 · 유사 행사 실적</t>
        </is>
      </c>
      <c r="C13" s="18" t="n">
        <v>20</v>
      </c>
      <c r="D13" s="18">
        <f>SUM(D10:D12)</f>
        <v/>
      </c>
      <c r="E13" s="18">
        <f>SUM(E10:E12)</f>
        <v/>
      </c>
      <c r="F13" s="18">
        <f>SUM(F10:F12)</f>
        <v/>
      </c>
      <c r="G13" s="18">
        <f>SUM(G10:G12)</f>
        <v/>
      </c>
      <c r="H13" s="18">
        <f>SUM(H10:H12)</f>
        <v/>
      </c>
      <c r="I13" s="18">
        <f>SUM(I10:I12)</f>
        <v/>
      </c>
      <c r="J13" s="18">
        <f>SUM(J10:J12)</f>
        <v/>
      </c>
    </row>
    <row r="14">
      <c r="A14" s="5" t="inlineStr">
        <is>
          <t>3-1</t>
        </is>
      </c>
      <c r="B14" s="7" t="inlineStr">
        <is>
          <t>3시간 구성 균형</t>
        </is>
      </c>
      <c r="C14" s="5" t="n">
        <v>8</v>
      </c>
      <c r="D14" s="17" t="n"/>
      <c r="E14" s="17" t="n"/>
      <c r="F14" s="17" t="n"/>
      <c r="G14" s="17" t="n"/>
      <c r="H14" s="17" t="n"/>
      <c r="I14" s="17" t="n"/>
      <c r="J14" s="17" t="n"/>
    </row>
    <row r="15">
      <c r="A15" s="5" t="inlineStr">
        <is>
          <t>3-2</t>
        </is>
      </c>
      <c r="B15" s="7" t="inlineStr">
        <is>
          <t>시나리오·큐시트 완성도</t>
        </is>
      </c>
      <c r="C15" s="5" t="n">
        <v>4</v>
      </c>
      <c r="D15" s="17" t="n"/>
      <c r="E15" s="17" t="n"/>
      <c r="F15" s="17" t="n"/>
      <c r="G15" s="17" t="n"/>
      <c r="H15" s="17" t="n"/>
      <c r="I15" s="17" t="n"/>
      <c r="J15" s="17" t="n"/>
    </row>
    <row r="16">
      <c r="A16" s="5" t="inlineStr">
        <is>
          <t>3-3</t>
        </is>
      </c>
      <c r="B16" s="7" t="inlineStr">
        <is>
          <t>특별 강연 세션 연출</t>
        </is>
      </c>
      <c r="C16" s="5" t="n">
        <v>3</v>
      </c>
      <c r="D16" s="17" t="n"/>
      <c r="E16" s="17" t="n"/>
      <c r="F16" s="17" t="n"/>
      <c r="G16" s="17" t="n"/>
      <c r="H16" s="17" t="n"/>
      <c r="I16" s="17" t="n"/>
      <c r="J16" s="17" t="n"/>
    </row>
    <row r="17">
      <c r="A17" s="11" t="inlineStr"/>
      <c r="B17" s="4" t="inlineStr">
        <is>
          <t>소계 · 프로그램·스토리텔링</t>
        </is>
      </c>
      <c r="C17" s="18" t="n">
        <v>15</v>
      </c>
      <c r="D17" s="18">
        <f>SUM(D14:D16)</f>
        <v/>
      </c>
      <c r="E17" s="18">
        <f>SUM(E14:E16)</f>
        <v/>
      </c>
      <c r="F17" s="18">
        <f>SUM(F14:F16)</f>
        <v/>
      </c>
      <c r="G17" s="18">
        <f>SUM(G14:G16)</f>
        <v/>
      </c>
      <c r="H17" s="18">
        <f>SUM(H14:H16)</f>
        <v/>
      </c>
      <c r="I17" s="18">
        <f>SUM(I14:I16)</f>
        <v/>
      </c>
      <c r="J17" s="18">
        <f>SUM(J14:J16)</f>
        <v/>
      </c>
    </row>
    <row r="18">
      <c r="A18" s="5" t="inlineStr">
        <is>
          <t>4-1</t>
        </is>
      </c>
      <c r="B18" s="7" t="inlineStr">
        <is>
          <t>총괄 PM 경력·투입률</t>
        </is>
      </c>
      <c r="C18" s="5" t="n">
        <v>8</v>
      </c>
      <c r="D18" s="17" t="n"/>
      <c r="E18" s="17" t="n"/>
      <c r="F18" s="17" t="n"/>
      <c r="G18" s="17" t="n"/>
      <c r="H18" s="17" t="n"/>
      <c r="I18" s="17" t="n"/>
      <c r="J18" s="17" t="n"/>
    </row>
    <row r="19">
      <c r="A19" s="5" t="inlineStr">
        <is>
          <t>4-2</t>
        </is>
      </c>
      <c r="B19" s="7" t="inlineStr">
        <is>
          <t>핵심 팀 구성</t>
        </is>
      </c>
      <c r="C19" s="5" t="n">
        <v>4</v>
      </c>
      <c r="D19" s="17" t="n"/>
      <c r="E19" s="17" t="n"/>
      <c r="F19" s="17" t="n"/>
      <c r="G19" s="17" t="n"/>
      <c r="H19" s="17" t="n"/>
      <c r="I19" s="17" t="n"/>
      <c r="J19" s="17" t="n"/>
    </row>
    <row r="20">
      <c r="A20" s="5" t="inlineStr">
        <is>
          <t>4-3</t>
        </is>
      </c>
      <c r="B20" s="7" t="inlineStr">
        <is>
          <t>사내 제작 비중·외주 관리</t>
        </is>
      </c>
      <c r="C20" s="5" t="n">
        <v>3</v>
      </c>
      <c r="D20" s="17" t="n"/>
      <c r="E20" s="17" t="n"/>
      <c r="F20" s="17" t="n"/>
      <c r="G20" s="17" t="n"/>
      <c r="H20" s="17" t="n"/>
      <c r="I20" s="17" t="n"/>
      <c r="J20" s="17" t="n"/>
    </row>
    <row r="21">
      <c r="A21" s="11" t="inlineStr"/>
      <c r="B21" s="4" t="inlineStr">
        <is>
          <t>소계 · 실제 투입 PM·팀</t>
        </is>
      </c>
      <c r="C21" s="18" t="n">
        <v>15</v>
      </c>
      <c r="D21" s="18">
        <f>SUM(D18:D20)</f>
        <v/>
      </c>
      <c r="E21" s="18">
        <f>SUM(E18:E20)</f>
        <v/>
      </c>
      <c r="F21" s="18">
        <f>SUM(F18:F20)</f>
        <v/>
      </c>
      <c r="G21" s="18">
        <f>SUM(G18:G20)</f>
        <v/>
      </c>
      <c r="H21" s="18">
        <f>SUM(H18:H20)</f>
        <v/>
      </c>
      <c r="I21" s="18">
        <f>SUM(I18:I20)</f>
        <v/>
      </c>
      <c r="J21" s="18">
        <f>SUM(J18:J20)</f>
        <v/>
      </c>
    </row>
    <row r="22">
      <c r="A22" s="5" t="inlineStr">
        <is>
          <t>5-1</t>
        </is>
      </c>
      <c r="B22" s="7" t="inlineStr">
        <is>
          <t>등록·RSVP·QR 및 홈페이지 연계</t>
        </is>
      </c>
      <c r="C22" s="5" t="n">
        <v>4</v>
      </c>
      <c r="D22" s="17" t="n"/>
      <c r="E22" s="17" t="n"/>
      <c r="F22" s="17" t="n"/>
      <c r="G22" s="17" t="n"/>
      <c r="H22" s="17" t="n"/>
      <c r="I22" s="17" t="n"/>
      <c r="J22" s="17" t="n"/>
    </row>
    <row r="23">
      <c r="A23" s="5" t="inlineStr">
        <is>
          <t>5-2</t>
        </is>
      </c>
      <c r="B23" s="7" t="inlineStr">
        <is>
          <t>VIP 의전·좌석·동선</t>
        </is>
      </c>
      <c r="C23" s="5" t="n">
        <v>3</v>
      </c>
      <c r="D23" s="17" t="n"/>
      <c r="E23" s="17" t="n"/>
      <c r="F23" s="17" t="n"/>
      <c r="G23" s="17" t="n"/>
      <c r="H23" s="17" t="n"/>
      <c r="I23" s="17" t="n"/>
      <c r="J23" s="17" t="n"/>
    </row>
    <row r="24">
      <c r="A24" s="5" t="inlineStr">
        <is>
          <t>5-3</t>
        </is>
      </c>
      <c r="B24" s="7" t="inlineStr">
        <is>
          <t>15:00 셋업·리허설·안전</t>
        </is>
      </c>
      <c r="C24" s="5" t="n">
        <v>3</v>
      </c>
      <c r="D24" s="17" t="n"/>
      <c r="E24" s="17" t="n"/>
      <c r="F24" s="17" t="n"/>
      <c r="G24" s="17" t="n"/>
      <c r="H24" s="17" t="n"/>
      <c r="I24" s="17" t="n"/>
      <c r="J24" s="17" t="n"/>
    </row>
    <row r="25">
      <c r="A25" s="11" t="inlineStr"/>
      <c r="B25" s="4" t="inlineStr">
        <is>
          <t>소계 · 등록·VIP·현장 운영</t>
        </is>
      </c>
      <c r="C25" s="18" t="n">
        <v>10</v>
      </c>
      <c r="D25" s="18">
        <f>SUM(D22:D24)</f>
        <v/>
      </c>
      <c r="E25" s="18">
        <f>SUM(E22:E24)</f>
        <v/>
      </c>
      <c r="F25" s="18">
        <f>SUM(F22:F24)</f>
        <v/>
      </c>
      <c r="G25" s="18">
        <f>SUM(G22:G24)</f>
        <v/>
      </c>
      <c r="H25" s="18">
        <f>SUM(H22:H24)</f>
        <v/>
      </c>
      <c r="I25" s="18">
        <f>SUM(I22:I24)</f>
        <v/>
      </c>
      <c r="J25" s="18">
        <f>SUM(J22:J24)</f>
        <v/>
      </c>
    </row>
    <row r="26">
      <c r="A26" s="5" t="inlineStr">
        <is>
          <t>6-1</t>
        </is>
      </c>
      <c r="B26" s="7" t="inlineStr">
        <is>
          <t>예산 범위 적합성</t>
        </is>
      </c>
      <c r="C26" s="5" t="n">
        <v>4</v>
      </c>
      <c r="D26" s="17" t="n"/>
      <c r="E26" s="17" t="n"/>
      <c r="F26" s="17" t="n"/>
      <c r="G26" s="17" t="n"/>
      <c r="H26" s="17" t="n"/>
      <c r="I26" s="17" t="n"/>
      <c r="J26" s="17" t="n"/>
    </row>
    <row r="27">
      <c r="A27" s="5" t="inlineStr">
        <is>
          <t>6-2</t>
        </is>
      </c>
      <c r="B27" s="7" t="inlineStr">
        <is>
          <t>산출 근거·구분</t>
        </is>
      </c>
      <c r="C27" s="5" t="n">
        <v>4</v>
      </c>
      <c r="D27" s="17" t="n"/>
      <c r="E27" s="17" t="n"/>
      <c r="F27" s="17" t="n"/>
      <c r="G27" s="17" t="n"/>
      <c r="H27" s="17" t="n"/>
      <c r="I27" s="17" t="n"/>
      <c r="J27" s="17" t="n"/>
    </row>
    <row r="28">
      <c r="A28" s="5" t="inlineStr">
        <is>
          <t>6-3</t>
        </is>
      </c>
      <c r="B28" s="7" t="inlineStr">
        <is>
          <t>인원 증감·옵션 분리</t>
        </is>
      </c>
      <c r="C28" s="5" t="n">
        <v>2</v>
      </c>
      <c r="D28" s="17" t="n"/>
      <c r="E28" s="17" t="n"/>
      <c r="F28" s="17" t="n"/>
      <c r="G28" s="17" t="n"/>
      <c r="H28" s="17" t="n"/>
      <c r="I28" s="17" t="n"/>
      <c r="J28" s="17" t="n"/>
    </row>
    <row r="29">
      <c r="A29" s="11" t="inlineStr"/>
      <c r="B29" s="4" t="inlineStr">
        <is>
          <t>소계 · 예산 합리성·투명성</t>
        </is>
      </c>
      <c r="C29" s="18" t="n">
        <v>10</v>
      </c>
      <c r="D29" s="18">
        <f>SUM(D26:D28)</f>
        <v/>
      </c>
      <c r="E29" s="18">
        <f>SUM(E26:E28)</f>
        <v/>
      </c>
      <c r="F29" s="18">
        <f>SUM(F26:F28)</f>
        <v/>
      </c>
      <c r="G29" s="18">
        <f>SUM(G26:G28)</f>
        <v/>
      </c>
      <c r="H29" s="18">
        <f>SUM(H26:H28)</f>
        <v/>
      </c>
      <c r="I29" s="18">
        <f>SUM(I26:I28)</f>
        <v/>
      </c>
      <c r="J29" s="18">
        <f>SUM(J26:J28)</f>
        <v/>
      </c>
    </row>
    <row r="30">
      <c r="A30" s="5" t="inlineStr">
        <is>
          <t>7-1</t>
        </is>
      </c>
      <c r="B30" s="7" t="inlineStr">
        <is>
          <t>키비주얼·포트폴리오 품질</t>
        </is>
      </c>
      <c r="C30" s="5" t="n">
        <v>3</v>
      </c>
      <c r="D30" s="17" t="n"/>
      <c r="E30" s="17" t="n"/>
      <c r="F30" s="17" t="n"/>
      <c r="G30" s="17" t="n"/>
      <c r="H30" s="17" t="n"/>
      <c r="I30" s="17" t="n"/>
      <c r="J30" s="17" t="n"/>
    </row>
    <row r="31">
      <c r="A31" s="5" t="inlineStr">
        <is>
          <t>7-2</t>
        </is>
      </c>
      <c r="B31" s="7" t="inlineStr">
        <is>
          <t>오프닝 영상 제안</t>
        </is>
      </c>
      <c r="C31" s="5" t="n">
        <v>2</v>
      </c>
      <c r="D31" s="17" t="n"/>
      <c r="E31" s="17" t="n"/>
      <c r="F31" s="17" t="n"/>
      <c r="G31" s="17" t="n"/>
      <c r="H31" s="17" t="n"/>
      <c r="I31" s="17" t="n"/>
      <c r="J31" s="17" t="n"/>
    </row>
    <row r="32">
      <c r="A32" s="11" t="inlineStr"/>
      <c r="B32" s="4" t="inlineStr">
        <is>
          <t>소계 · 디자인·영상 완성도</t>
        </is>
      </c>
      <c r="C32" s="18" t="n">
        <v>5</v>
      </c>
      <c r="D32" s="18">
        <f>SUM(D30:D31)</f>
        <v/>
      </c>
      <c r="E32" s="18">
        <f>SUM(E30:E31)</f>
        <v/>
      </c>
      <c r="F32" s="18">
        <f>SUM(F30:F31)</f>
        <v/>
      </c>
      <c r="G32" s="18">
        <f>SUM(G30:G31)</f>
        <v/>
      </c>
      <c r="H32" s="18">
        <f>SUM(H30:H31)</f>
        <v/>
      </c>
      <c r="I32" s="18">
        <f>SUM(I30:I31)</f>
        <v/>
      </c>
      <c r="J32" s="18">
        <f>SUM(J30:J31)</f>
        <v/>
      </c>
    </row>
    <row r="33">
      <c r="B33" s="13" t="inlineStr">
        <is>
          <t>총점 (100)</t>
        </is>
      </c>
      <c r="C33" s="14" t="n">
        <v>100</v>
      </c>
      <c r="D33" s="14">
        <f>D9+D13+D17+D21+D25+D29+D32</f>
        <v/>
      </c>
      <c r="E33" s="14">
        <f>E9+E13+E17+E21+E25+E29+E32</f>
        <v/>
      </c>
      <c r="F33" s="14">
        <f>F9+F13+F17+F21+F25+F29+F32</f>
        <v/>
      </c>
      <c r="G33" s="14">
        <f>G9+G13+G17+G21+G25+G29+G32</f>
        <v/>
      </c>
      <c r="H33" s="14">
        <f>H9+H13+H17+H21+H25+H29+H32</f>
        <v/>
      </c>
      <c r="I33" s="14">
        <f>I9+I13+I17+I21+I25+I29+I32</f>
        <v/>
      </c>
      <c r="J33" s="14">
        <f>J9+J13+J17+J21+J25+J29+J32</f>
        <v/>
      </c>
    </row>
    <row r="35">
      <c r="A35" s="5" t="inlineStr">
        <is>
          <t>G1</t>
        </is>
      </c>
      <c r="B35" s="7" t="inlineStr">
        <is>
          <t>2027.4.16 현장 운영 가능</t>
        </is>
      </c>
      <c r="C35" s="19" t="inlineStr">
        <is>
          <t>예/아니오</t>
        </is>
      </c>
      <c r="D35" s="17" t="n"/>
      <c r="E35" s="17" t="n"/>
      <c r="F35" s="17" t="n"/>
      <c r="G35" s="17" t="n"/>
      <c r="H35" s="17" t="n"/>
      <c r="I35" s="17" t="n"/>
      <c r="J35" s="17" t="n"/>
    </row>
    <row r="36">
      <c r="A36" s="5" t="inlineStr">
        <is>
          <t>G2</t>
        </is>
      </c>
      <c r="B36" s="7" t="inlineStr">
        <is>
          <t>호텔 60일 전 통보·사전 승인 이행 동의</t>
        </is>
      </c>
      <c r="C36" s="19" t="inlineStr">
        <is>
          <t>예/아니오</t>
        </is>
      </c>
      <c r="D36" s="17" t="n"/>
      <c r="E36" s="17" t="n"/>
      <c r="F36" s="17" t="n"/>
      <c r="G36" s="17" t="n"/>
      <c r="H36" s="17" t="n"/>
      <c r="I36" s="17" t="n"/>
      <c r="J36" s="17" t="n"/>
    </row>
    <row r="37">
      <c r="A37" s="5" t="inlineStr">
        <is>
          <t>G3</t>
        </is>
      </c>
      <c r="B37" s="7" t="inlineStr">
        <is>
          <t>VAT 포함·별도 금액 모두 제출</t>
        </is>
      </c>
      <c r="C37" s="19" t="inlineStr">
        <is>
          <t>예/아니오</t>
        </is>
      </c>
      <c r="D37" s="17" t="n"/>
      <c r="E37" s="17" t="n"/>
      <c r="F37" s="17" t="n"/>
      <c r="G37" s="17" t="n"/>
      <c r="H37" s="17" t="n"/>
      <c r="I37" s="17" t="n"/>
      <c r="J37" s="17" t="n"/>
    </row>
    <row r="38">
      <c r="A38" s="5" t="inlineStr">
        <is>
          <t>G4</t>
        </is>
      </c>
      <c r="B38" s="7" t="inlineStr">
        <is>
          <t>핵심 인력 실투입 확약</t>
        </is>
      </c>
      <c r="C38" s="19" t="inlineStr">
        <is>
          <t>예/아니오</t>
        </is>
      </c>
      <c r="D38" s="17" t="n"/>
      <c r="E38" s="17" t="n"/>
      <c r="F38" s="17" t="n"/>
      <c r="G38" s="17" t="n"/>
      <c r="H38" s="17" t="n"/>
      <c r="I38" s="17" t="n"/>
      <c r="J38" s="17" t="n"/>
    </row>
    <row r="39">
      <c r="A39" s="5" t="inlineStr">
        <is>
          <t>G5</t>
        </is>
      </c>
      <c r="B39" s="7" t="inlineStr">
        <is>
          <t>참석자 개인정보 처리 방안 제출</t>
        </is>
      </c>
      <c r="C39" s="19" t="inlineStr">
        <is>
          <t>예/아니오</t>
        </is>
      </c>
      <c r="D39" s="17" t="n"/>
      <c r="E39" s="17" t="n"/>
      <c r="F39" s="17" t="n"/>
      <c r="G39" s="17" t="n"/>
      <c r="H39" s="17" t="n"/>
      <c r="I39" s="17" t="n"/>
      <c r="J39" s="17" t="n"/>
    </row>
    <row r="41">
      <c r="A41" s="4" t="inlineStr">
        <is>
          <t>의견</t>
        </is>
      </c>
      <c r="D41" s="16" t="n"/>
      <c r="E41" s="16" t="n"/>
      <c r="F41" s="16" t="n"/>
      <c r="G41" s="16" t="n"/>
      <c r="H41" s="16" t="n"/>
      <c r="I41" s="16" t="n"/>
      <c r="J41" s="16" t="n"/>
    </row>
    <row r="42"/>
    <row r="43"/>
    <row r="44"/>
  </sheetData>
  <mergeCells count="9">
    <mergeCell ref="H41:H44"/>
    <mergeCell ref="D41:D44"/>
    <mergeCell ref="A2:K2"/>
    <mergeCell ref="J41:J44"/>
    <mergeCell ref="E41:E44"/>
    <mergeCell ref="F41:F44"/>
    <mergeCell ref="A1:K1"/>
    <mergeCell ref="I41:I44"/>
    <mergeCell ref="G41:G44"/>
  </mergeCells>
  <conditionalFormatting sqref="D6:J32">
    <cfRule type="cellIs" priority="1" operator="greaterThan" dxfId="0">
      <formula>$C6</formula>
    </cfRule>
  </conditionalFormatting>
  <dataValidations count="1">
    <dataValidation sqref="D35:J39" showDropDown="0" showInputMessage="0" showErrorMessage="0" allowBlank="1" type="list">
      <formula1>"예,아니오"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4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34" customWidth="1" min="2" max="2"/>
    <col width="7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 ht="30" customHeight="1">
      <c r="A1" s="1" t="inlineStr">
        <is>
          <t>평가표 — 평가자3</t>
        </is>
      </c>
    </row>
    <row r="2" ht="30" customHeight="1">
      <c r="A2" s="2" t="inlineStr">
        <is>
          <t>평가자 성함을 B3에 적고, 노란 칸에 업체별 점수(배점 이내)를 입력하세요. 배점 초과 시 빨간색으로 표시됩니다.</t>
        </is>
      </c>
    </row>
    <row r="3">
      <c r="A3" s="4" t="inlineStr">
        <is>
          <t>평가자</t>
        </is>
      </c>
      <c r="B3" s="16" t="inlineStr"/>
      <c r="C3" s="4" t="inlineStr">
        <is>
          <t>평가일</t>
        </is>
      </c>
      <c r="D3" s="16" t="inlineStr"/>
    </row>
    <row r="5">
      <c r="A5" s="3" t="inlineStr">
        <is>
          <t>코드</t>
        </is>
      </c>
      <c r="B5" s="3" t="inlineStr">
        <is>
          <t>세부 항목</t>
        </is>
      </c>
      <c r="C5" s="3" t="inlineStr">
        <is>
          <t>배점</t>
        </is>
      </c>
      <c r="D5" s="3" t="inlineStr">
        <is>
          <t>인터컴</t>
        </is>
      </c>
      <c r="E5" s="3" t="inlineStr">
        <is>
          <t>유니원</t>
        </is>
      </c>
      <c r="F5" s="3" t="inlineStr">
        <is>
          <t>FM</t>
        </is>
      </c>
      <c r="G5" s="3" t="inlineStr">
        <is>
          <t>플랜웍스</t>
        </is>
      </c>
      <c r="H5" s="3" t="inlineStr">
        <is>
          <t>이즈피엠피</t>
        </is>
      </c>
      <c r="I5" s="3" t="inlineStr">
        <is>
          <t>피플엑스</t>
        </is>
      </c>
      <c r="J5" s="3" t="inlineStr">
        <is>
          <t>이도플래닝</t>
        </is>
      </c>
    </row>
    <row r="6">
      <c r="A6" s="5" t="inlineStr">
        <is>
          <t>1-1</t>
        </is>
      </c>
      <c r="B6" s="7" t="inlineStr">
        <is>
          <t>창립 메시지 해석</t>
        </is>
      </c>
      <c r="C6" s="5" t="n">
        <v>10</v>
      </c>
      <c r="D6" s="17" t="n"/>
      <c r="E6" s="17" t="n"/>
      <c r="F6" s="17" t="n"/>
      <c r="G6" s="17" t="n"/>
      <c r="H6" s="17" t="n"/>
      <c r="I6" s="17" t="n"/>
      <c r="J6" s="17" t="n"/>
    </row>
    <row r="7">
      <c r="A7" s="5" t="inlineStr">
        <is>
          <t>1-2</t>
        </is>
      </c>
      <c r="B7" s="7" t="inlineStr">
        <is>
          <t>오프닝·세리머니 차별화</t>
        </is>
      </c>
      <c r="C7" s="5" t="n">
        <v>10</v>
      </c>
      <c r="D7" s="17" t="n"/>
      <c r="E7" s="17" t="n"/>
      <c r="F7" s="17" t="n"/>
      <c r="G7" s="17" t="n"/>
      <c r="H7" s="17" t="n"/>
      <c r="I7" s="17" t="n"/>
      <c r="J7" s="17" t="n"/>
    </row>
    <row r="8">
      <c r="A8" s="5" t="inlineStr">
        <is>
          <t>1-3</t>
        </is>
      </c>
      <c r="B8" s="7" t="inlineStr">
        <is>
          <t>동문 정체성·세대 연결</t>
        </is>
      </c>
      <c r="C8" s="5" t="n">
        <v>5</v>
      </c>
      <c r="D8" s="17" t="n"/>
      <c r="E8" s="17" t="n"/>
      <c r="F8" s="17" t="n"/>
      <c r="G8" s="17" t="n"/>
      <c r="H8" s="17" t="n"/>
      <c r="I8" s="17" t="n"/>
      <c r="J8" s="17" t="n"/>
    </row>
    <row r="9">
      <c r="A9" s="11" t="inlineStr"/>
      <c r="B9" s="4" t="inlineStr">
        <is>
          <t>소계 · 행사 콘셉트·창의성</t>
        </is>
      </c>
      <c r="C9" s="18" t="n">
        <v>25</v>
      </c>
      <c r="D9" s="18">
        <f>SUM(D6:D8)</f>
        <v/>
      </c>
      <c r="E9" s="18">
        <f>SUM(E6:E8)</f>
        <v/>
      </c>
      <c r="F9" s="18">
        <f>SUM(F6:F8)</f>
        <v/>
      </c>
      <c r="G9" s="18">
        <f>SUM(G6:G8)</f>
        <v/>
      </c>
      <c r="H9" s="18">
        <f>SUM(H6:H8)</f>
        <v/>
      </c>
      <c r="I9" s="18">
        <f>SUM(I6:I8)</f>
        <v/>
      </c>
      <c r="J9" s="18">
        <f>SUM(J6:J8)</f>
        <v/>
      </c>
    </row>
    <row r="10">
      <c r="A10" s="5" t="inlineStr">
        <is>
          <t>2-1</t>
        </is>
      </c>
      <c r="B10" s="7" t="inlineStr">
        <is>
          <t>500~1,000명 호텔 갈라·창립식 실적</t>
        </is>
      </c>
      <c r="C10" s="5" t="n">
        <v>10</v>
      </c>
      <c r="D10" s="17" t="n"/>
      <c r="E10" s="17" t="n"/>
      <c r="F10" s="17" t="n"/>
      <c r="G10" s="17" t="n"/>
      <c r="H10" s="17" t="n"/>
      <c r="I10" s="17" t="n"/>
      <c r="J10" s="17" t="n"/>
    </row>
    <row r="11">
      <c r="A11" s="5" t="inlineStr">
        <is>
          <t>2-2</t>
        </is>
      </c>
      <c r="B11" s="7" t="inlineStr">
        <is>
          <t>그랜드 하얏트·Encore 경험</t>
        </is>
      </c>
      <c r="C11" s="5" t="n">
        <v>5</v>
      </c>
      <c r="D11" s="17" t="n"/>
      <c r="E11" s="17" t="n"/>
      <c r="F11" s="17" t="n"/>
      <c r="G11" s="17" t="n"/>
      <c r="H11" s="17" t="n"/>
      <c r="I11" s="17" t="n"/>
      <c r="J11" s="17" t="n"/>
    </row>
    <row r="12">
      <c r="A12" s="5" t="inlineStr">
        <is>
          <t>2-3</t>
        </is>
      </c>
      <c r="B12" s="7" t="inlineStr">
        <is>
          <t>레퍼런스 검증 가능성</t>
        </is>
      </c>
      <c r="C12" s="5" t="n">
        <v>5</v>
      </c>
      <c r="D12" s="17" t="n"/>
      <c r="E12" s="17" t="n"/>
      <c r="F12" s="17" t="n"/>
      <c r="G12" s="17" t="n"/>
      <c r="H12" s="17" t="n"/>
      <c r="I12" s="17" t="n"/>
      <c r="J12" s="17" t="n"/>
    </row>
    <row r="13">
      <c r="A13" s="11" t="inlineStr"/>
      <c r="B13" s="4" t="inlineStr">
        <is>
          <t>소계 · 유사 행사 실적</t>
        </is>
      </c>
      <c r="C13" s="18" t="n">
        <v>20</v>
      </c>
      <c r="D13" s="18">
        <f>SUM(D10:D12)</f>
        <v/>
      </c>
      <c r="E13" s="18">
        <f>SUM(E10:E12)</f>
        <v/>
      </c>
      <c r="F13" s="18">
        <f>SUM(F10:F12)</f>
        <v/>
      </c>
      <c r="G13" s="18">
        <f>SUM(G10:G12)</f>
        <v/>
      </c>
      <c r="H13" s="18">
        <f>SUM(H10:H12)</f>
        <v/>
      </c>
      <c r="I13" s="18">
        <f>SUM(I10:I12)</f>
        <v/>
      </c>
      <c r="J13" s="18">
        <f>SUM(J10:J12)</f>
        <v/>
      </c>
    </row>
    <row r="14">
      <c r="A14" s="5" t="inlineStr">
        <is>
          <t>3-1</t>
        </is>
      </c>
      <c r="B14" s="7" t="inlineStr">
        <is>
          <t>3시간 구성 균형</t>
        </is>
      </c>
      <c r="C14" s="5" t="n">
        <v>8</v>
      </c>
      <c r="D14" s="17" t="n"/>
      <c r="E14" s="17" t="n"/>
      <c r="F14" s="17" t="n"/>
      <c r="G14" s="17" t="n"/>
      <c r="H14" s="17" t="n"/>
      <c r="I14" s="17" t="n"/>
      <c r="J14" s="17" t="n"/>
    </row>
    <row r="15">
      <c r="A15" s="5" t="inlineStr">
        <is>
          <t>3-2</t>
        </is>
      </c>
      <c r="B15" s="7" t="inlineStr">
        <is>
          <t>시나리오·큐시트 완성도</t>
        </is>
      </c>
      <c r="C15" s="5" t="n">
        <v>4</v>
      </c>
      <c r="D15" s="17" t="n"/>
      <c r="E15" s="17" t="n"/>
      <c r="F15" s="17" t="n"/>
      <c r="G15" s="17" t="n"/>
      <c r="H15" s="17" t="n"/>
      <c r="I15" s="17" t="n"/>
      <c r="J15" s="17" t="n"/>
    </row>
    <row r="16">
      <c r="A16" s="5" t="inlineStr">
        <is>
          <t>3-3</t>
        </is>
      </c>
      <c r="B16" s="7" t="inlineStr">
        <is>
          <t>특별 강연 세션 연출</t>
        </is>
      </c>
      <c r="C16" s="5" t="n">
        <v>3</v>
      </c>
      <c r="D16" s="17" t="n"/>
      <c r="E16" s="17" t="n"/>
      <c r="F16" s="17" t="n"/>
      <c r="G16" s="17" t="n"/>
      <c r="H16" s="17" t="n"/>
      <c r="I16" s="17" t="n"/>
      <c r="J16" s="17" t="n"/>
    </row>
    <row r="17">
      <c r="A17" s="11" t="inlineStr"/>
      <c r="B17" s="4" t="inlineStr">
        <is>
          <t>소계 · 프로그램·스토리텔링</t>
        </is>
      </c>
      <c r="C17" s="18" t="n">
        <v>15</v>
      </c>
      <c r="D17" s="18">
        <f>SUM(D14:D16)</f>
        <v/>
      </c>
      <c r="E17" s="18">
        <f>SUM(E14:E16)</f>
        <v/>
      </c>
      <c r="F17" s="18">
        <f>SUM(F14:F16)</f>
        <v/>
      </c>
      <c r="G17" s="18">
        <f>SUM(G14:G16)</f>
        <v/>
      </c>
      <c r="H17" s="18">
        <f>SUM(H14:H16)</f>
        <v/>
      </c>
      <c r="I17" s="18">
        <f>SUM(I14:I16)</f>
        <v/>
      </c>
      <c r="J17" s="18">
        <f>SUM(J14:J16)</f>
        <v/>
      </c>
    </row>
    <row r="18">
      <c r="A18" s="5" t="inlineStr">
        <is>
          <t>4-1</t>
        </is>
      </c>
      <c r="B18" s="7" t="inlineStr">
        <is>
          <t>총괄 PM 경력·투입률</t>
        </is>
      </c>
      <c r="C18" s="5" t="n">
        <v>8</v>
      </c>
      <c r="D18" s="17" t="n"/>
      <c r="E18" s="17" t="n"/>
      <c r="F18" s="17" t="n"/>
      <c r="G18" s="17" t="n"/>
      <c r="H18" s="17" t="n"/>
      <c r="I18" s="17" t="n"/>
      <c r="J18" s="17" t="n"/>
    </row>
    <row r="19">
      <c r="A19" s="5" t="inlineStr">
        <is>
          <t>4-2</t>
        </is>
      </c>
      <c r="B19" s="7" t="inlineStr">
        <is>
          <t>핵심 팀 구성</t>
        </is>
      </c>
      <c r="C19" s="5" t="n">
        <v>4</v>
      </c>
      <c r="D19" s="17" t="n"/>
      <c r="E19" s="17" t="n"/>
      <c r="F19" s="17" t="n"/>
      <c r="G19" s="17" t="n"/>
      <c r="H19" s="17" t="n"/>
      <c r="I19" s="17" t="n"/>
      <c r="J19" s="17" t="n"/>
    </row>
    <row r="20">
      <c r="A20" s="5" t="inlineStr">
        <is>
          <t>4-3</t>
        </is>
      </c>
      <c r="B20" s="7" t="inlineStr">
        <is>
          <t>사내 제작 비중·외주 관리</t>
        </is>
      </c>
      <c r="C20" s="5" t="n">
        <v>3</v>
      </c>
      <c r="D20" s="17" t="n"/>
      <c r="E20" s="17" t="n"/>
      <c r="F20" s="17" t="n"/>
      <c r="G20" s="17" t="n"/>
      <c r="H20" s="17" t="n"/>
      <c r="I20" s="17" t="n"/>
      <c r="J20" s="17" t="n"/>
    </row>
    <row r="21">
      <c r="A21" s="11" t="inlineStr"/>
      <c r="B21" s="4" t="inlineStr">
        <is>
          <t>소계 · 실제 투입 PM·팀</t>
        </is>
      </c>
      <c r="C21" s="18" t="n">
        <v>15</v>
      </c>
      <c r="D21" s="18">
        <f>SUM(D18:D20)</f>
        <v/>
      </c>
      <c r="E21" s="18">
        <f>SUM(E18:E20)</f>
        <v/>
      </c>
      <c r="F21" s="18">
        <f>SUM(F18:F20)</f>
        <v/>
      </c>
      <c r="G21" s="18">
        <f>SUM(G18:G20)</f>
        <v/>
      </c>
      <c r="H21" s="18">
        <f>SUM(H18:H20)</f>
        <v/>
      </c>
      <c r="I21" s="18">
        <f>SUM(I18:I20)</f>
        <v/>
      </c>
      <c r="J21" s="18">
        <f>SUM(J18:J20)</f>
        <v/>
      </c>
    </row>
    <row r="22">
      <c r="A22" s="5" t="inlineStr">
        <is>
          <t>5-1</t>
        </is>
      </c>
      <c r="B22" s="7" t="inlineStr">
        <is>
          <t>등록·RSVP·QR 및 홈페이지 연계</t>
        </is>
      </c>
      <c r="C22" s="5" t="n">
        <v>4</v>
      </c>
      <c r="D22" s="17" t="n"/>
      <c r="E22" s="17" t="n"/>
      <c r="F22" s="17" t="n"/>
      <c r="G22" s="17" t="n"/>
      <c r="H22" s="17" t="n"/>
      <c r="I22" s="17" t="n"/>
      <c r="J22" s="17" t="n"/>
    </row>
    <row r="23">
      <c r="A23" s="5" t="inlineStr">
        <is>
          <t>5-2</t>
        </is>
      </c>
      <c r="B23" s="7" t="inlineStr">
        <is>
          <t>VIP 의전·좌석·동선</t>
        </is>
      </c>
      <c r="C23" s="5" t="n">
        <v>3</v>
      </c>
      <c r="D23" s="17" t="n"/>
      <c r="E23" s="17" t="n"/>
      <c r="F23" s="17" t="n"/>
      <c r="G23" s="17" t="n"/>
      <c r="H23" s="17" t="n"/>
      <c r="I23" s="17" t="n"/>
      <c r="J23" s="17" t="n"/>
    </row>
    <row r="24">
      <c r="A24" s="5" t="inlineStr">
        <is>
          <t>5-3</t>
        </is>
      </c>
      <c r="B24" s="7" t="inlineStr">
        <is>
          <t>15:00 셋업·리허설·안전</t>
        </is>
      </c>
      <c r="C24" s="5" t="n">
        <v>3</v>
      </c>
      <c r="D24" s="17" t="n"/>
      <c r="E24" s="17" t="n"/>
      <c r="F24" s="17" t="n"/>
      <c r="G24" s="17" t="n"/>
      <c r="H24" s="17" t="n"/>
      <c r="I24" s="17" t="n"/>
      <c r="J24" s="17" t="n"/>
    </row>
    <row r="25">
      <c r="A25" s="11" t="inlineStr"/>
      <c r="B25" s="4" t="inlineStr">
        <is>
          <t>소계 · 등록·VIP·현장 운영</t>
        </is>
      </c>
      <c r="C25" s="18" t="n">
        <v>10</v>
      </c>
      <c r="D25" s="18">
        <f>SUM(D22:D24)</f>
        <v/>
      </c>
      <c r="E25" s="18">
        <f>SUM(E22:E24)</f>
        <v/>
      </c>
      <c r="F25" s="18">
        <f>SUM(F22:F24)</f>
        <v/>
      </c>
      <c r="G25" s="18">
        <f>SUM(G22:G24)</f>
        <v/>
      </c>
      <c r="H25" s="18">
        <f>SUM(H22:H24)</f>
        <v/>
      </c>
      <c r="I25" s="18">
        <f>SUM(I22:I24)</f>
        <v/>
      </c>
      <c r="J25" s="18">
        <f>SUM(J22:J24)</f>
        <v/>
      </c>
    </row>
    <row r="26">
      <c r="A26" s="5" t="inlineStr">
        <is>
          <t>6-1</t>
        </is>
      </c>
      <c r="B26" s="7" t="inlineStr">
        <is>
          <t>예산 범위 적합성</t>
        </is>
      </c>
      <c r="C26" s="5" t="n">
        <v>4</v>
      </c>
      <c r="D26" s="17" t="n"/>
      <c r="E26" s="17" t="n"/>
      <c r="F26" s="17" t="n"/>
      <c r="G26" s="17" t="n"/>
      <c r="H26" s="17" t="n"/>
      <c r="I26" s="17" t="n"/>
      <c r="J26" s="17" t="n"/>
    </row>
    <row r="27">
      <c r="A27" s="5" t="inlineStr">
        <is>
          <t>6-2</t>
        </is>
      </c>
      <c r="B27" s="7" t="inlineStr">
        <is>
          <t>산출 근거·구분</t>
        </is>
      </c>
      <c r="C27" s="5" t="n">
        <v>4</v>
      </c>
      <c r="D27" s="17" t="n"/>
      <c r="E27" s="17" t="n"/>
      <c r="F27" s="17" t="n"/>
      <c r="G27" s="17" t="n"/>
      <c r="H27" s="17" t="n"/>
      <c r="I27" s="17" t="n"/>
      <c r="J27" s="17" t="n"/>
    </row>
    <row r="28">
      <c r="A28" s="5" t="inlineStr">
        <is>
          <t>6-3</t>
        </is>
      </c>
      <c r="B28" s="7" t="inlineStr">
        <is>
          <t>인원 증감·옵션 분리</t>
        </is>
      </c>
      <c r="C28" s="5" t="n">
        <v>2</v>
      </c>
      <c r="D28" s="17" t="n"/>
      <c r="E28" s="17" t="n"/>
      <c r="F28" s="17" t="n"/>
      <c r="G28" s="17" t="n"/>
      <c r="H28" s="17" t="n"/>
      <c r="I28" s="17" t="n"/>
      <c r="J28" s="17" t="n"/>
    </row>
    <row r="29">
      <c r="A29" s="11" t="inlineStr"/>
      <c r="B29" s="4" t="inlineStr">
        <is>
          <t>소계 · 예산 합리성·투명성</t>
        </is>
      </c>
      <c r="C29" s="18" t="n">
        <v>10</v>
      </c>
      <c r="D29" s="18">
        <f>SUM(D26:D28)</f>
        <v/>
      </c>
      <c r="E29" s="18">
        <f>SUM(E26:E28)</f>
        <v/>
      </c>
      <c r="F29" s="18">
        <f>SUM(F26:F28)</f>
        <v/>
      </c>
      <c r="G29" s="18">
        <f>SUM(G26:G28)</f>
        <v/>
      </c>
      <c r="H29" s="18">
        <f>SUM(H26:H28)</f>
        <v/>
      </c>
      <c r="I29" s="18">
        <f>SUM(I26:I28)</f>
        <v/>
      </c>
      <c r="J29" s="18">
        <f>SUM(J26:J28)</f>
        <v/>
      </c>
    </row>
    <row r="30">
      <c r="A30" s="5" t="inlineStr">
        <is>
          <t>7-1</t>
        </is>
      </c>
      <c r="B30" s="7" t="inlineStr">
        <is>
          <t>키비주얼·포트폴리오 품질</t>
        </is>
      </c>
      <c r="C30" s="5" t="n">
        <v>3</v>
      </c>
      <c r="D30" s="17" t="n"/>
      <c r="E30" s="17" t="n"/>
      <c r="F30" s="17" t="n"/>
      <c r="G30" s="17" t="n"/>
      <c r="H30" s="17" t="n"/>
      <c r="I30" s="17" t="n"/>
      <c r="J30" s="17" t="n"/>
    </row>
    <row r="31">
      <c r="A31" s="5" t="inlineStr">
        <is>
          <t>7-2</t>
        </is>
      </c>
      <c r="B31" s="7" t="inlineStr">
        <is>
          <t>오프닝 영상 제안</t>
        </is>
      </c>
      <c r="C31" s="5" t="n">
        <v>2</v>
      </c>
      <c r="D31" s="17" t="n"/>
      <c r="E31" s="17" t="n"/>
      <c r="F31" s="17" t="n"/>
      <c r="G31" s="17" t="n"/>
      <c r="H31" s="17" t="n"/>
      <c r="I31" s="17" t="n"/>
      <c r="J31" s="17" t="n"/>
    </row>
    <row r="32">
      <c r="A32" s="11" t="inlineStr"/>
      <c r="B32" s="4" t="inlineStr">
        <is>
          <t>소계 · 디자인·영상 완성도</t>
        </is>
      </c>
      <c r="C32" s="18" t="n">
        <v>5</v>
      </c>
      <c r="D32" s="18">
        <f>SUM(D30:D31)</f>
        <v/>
      </c>
      <c r="E32" s="18">
        <f>SUM(E30:E31)</f>
        <v/>
      </c>
      <c r="F32" s="18">
        <f>SUM(F30:F31)</f>
        <v/>
      </c>
      <c r="G32" s="18">
        <f>SUM(G30:G31)</f>
        <v/>
      </c>
      <c r="H32" s="18">
        <f>SUM(H30:H31)</f>
        <v/>
      </c>
      <c r="I32" s="18">
        <f>SUM(I30:I31)</f>
        <v/>
      </c>
      <c r="J32" s="18">
        <f>SUM(J30:J31)</f>
        <v/>
      </c>
    </row>
    <row r="33">
      <c r="B33" s="13" t="inlineStr">
        <is>
          <t>총점 (100)</t>
        </is>
      </c>
      <c r="C33" s="14" t="n">
        <v>100</v>
      </c>
      <c r="D33" s="14">
        <f>D9+D13+D17+D21+D25+D29+D32</f>
        <v/>
      </c>
      <c r="E33" s="14">
        <f>E9+E13+E17+E21+E25+E29+E32</f>
        <v/>
      </c>
      <c r="F33" s="14">
        <f>F9+F13+F17+F21+F25+F29+F32</f>
        <v/>
      </c>
      <c r="G33" s="14">
        <f>G9+G13+G17+G21+G25+G29+G32</f>
        <v/>
      </c>
      <c r="H33" s="14">
        <f>H9+H13+H17+H21+H25+H29+H32</f>
        <v/>
      </c>
      <c r="I33" s="14">
        <f>I9+I13+I17+I21+I25+I29+I32</f>
        <v/>
      </c>
      <c r="J33" s="14">
        <f>J9+J13+J17+J21+J25+J29+J32</f>
        <v/>
      </c>
    </row>
    <row r="35">
      <c r="A35" s="5" t="inlineStr">
        <is>
          <t>G1</t>
        </is>
      </c>
      <c r="B35" s="7" t="inlineStr">
        <is>
          <t>2027.4.16 현장 운영 가능</t>
        </is>
      </c>
      <c r="C35" s="19" t="inlineStr">
        <is>
          <t>예/아니오</t>
        </is>
      </c>
      <c r="D35" s="17" t="n"/>
      <c r="E35" s="17" t="n"/>
      <c r="F35" s="17" t="n"/>
      <c r="G35" s="17" t="n"/>
      <c r="H35" s="17" t="n"/>
      <c r="I35" s="17" t="n"/>
      <c r="J35" s="17" t="n"/>
    </row>
    <row r="36">
      <c r="A36" s="5" t="inlineStr">
        <is>
          <t>G2</t>
        </is>
      </c>
      <c r="B36" s="7" t="inlineStr">
        <is>
          <t>호텔 60일 전 통보·사전 승인 이행 동의</t>
        </is>
      </c>
      <c r="C36" s="19" t="inlineStr">
        <is>
          <t>예/아니오</t>
        </is>
      </c>
      <c r="D36" s="17" t="n"/>
      <c r="E36" s="17" t="n"/>
      <c r="F36" s="17" t="n"/>
      <c r="G36" s="17" t="n"/>
      <c r="H36" s="17" t="n"/>
      <c r="I36" s="17" t="n"/>
      <c r="J36" s="17" t="n"/>
    </row>
    <row r="37">
      <c r="A37" s="5" t="inlineStr">
        <is>
          <t>G3</t>
        </is>
      </c>
      <c r="B37" s="7" t="inlineStr">
        <is>
          <t>VAT 포함·별도 금액 모두 제출</t>
        </is>
      </c>
      <c r="C37" s="19" t="inlineStr">
        <is>
          <t>예/아니오</t>
        </is>
      </c>
      <c r="D37" s="17" t="n"/>
      <c r="E37" s="17" t="n"/>
      <c r="F37" s="17" t="n"/>
      <c r="G37" s="17" t="n"/>
      <c r="H37" s="17" t="n"/>
      <c r="I37" s="17" t="n"/>
      <c r="J37" s="17" t="n"/>
    </row>
    <row r="38">
      <c r="A38" s="5" t="inlineStr">
        <is>
          <t>G4</t>
        </is>
      </c>
      <c r="B38" s="7" t="inlineStr">
        <is>
          <t>핵심 인력 실투입 확약</t>
        </is>
      </c>
      <c r="C38" s="19" t="inlineStr">
        <is>
          <t>예/아니오</t>
        </is>
      </c>
      <c r="D38" s="17" t="n"/>
      <c r="E38" s="17" t="n"/>
      <c r="F38" s="17" t="n"/>
      <c r="G38" s="17" t="n"/>
      <c r="H38" s="17" t="n"/>
      <c r="I38" s="17" t="n"/>
      <c r="J38" s="17" t="n"/>
    </row>
    <row r="39">
      <c r="A39" s="5" t="inlineStr">
        <is>
          <t>G5</t>
        </is>
      </c>
      <c r="B39" s="7" t="inlineStr">
        <is>
          <t>참석자 개인정보 처리 방안 제출</t>
        </is>
      </c>
      <c r="C39" s="19" t="inlineStr">
        <is>
          <t>예/아니오</t>
        </is>
      </c>
      <c r="D39" s="17" t="n"/>
      <c r="E39" s="17" t="n"/>
      <c r="F39" s="17" t="n"/>
      <c r="G39" s="17" t="n"/>
      <c r="H39" s="17" t="n"/>
      <c r="I39" s="17" t="n"/>
      <c r="J39" s="17" t="n"/>
    </row>
    <row r="41">
      <c r="A41" s="4" t="inlineStr">
        <is>
          <t>의견</t>
        </is>
      </c>
      <c r="D41" s="16" t="n"/>
      <c r="E41" s="16" t="n"/>
      <c r="F41" s="16" t="n"/>
      <c r="G41" s="16" t="n"/>
      <c r="H41" s="16" t="n"/>
      <c r="I41" s="16" t="n"/>
      <c r="J41" s="16" t="n"/>
    </row>
    <row r="42"/>
    <row r="43"/>
    <row r="44"/>
  </sheetData>
  <mergeCells count="9">
    <mergeCell ref="H41:H44"/>
    <mergeCell ref="D41:D44"/>
    <mergeCell ref="A2:K2"/>
    <mergeCell ref="J41:J44"/>
    <mergeCell ref="E41:E44"/>
    <mergeCell ref="F41:F44"/>
    <mergeCell ref="A1:K1"/>
    <mergeCell ref="I41:I44"/>
    <mergeCell ref="G41:G44"/>
  </mergeCells>
  <conditionalFormatting sqref="D6:J32">
    <cfRule type="cellIs" priority="1" operator="greaterThan" dxfId="0">
      <formula>$C6</formula>
    </cfRule>
  </conditionalFormatting>
  <dataValidations count="1">
    <dataValidation sqref="D35:J39" showDropDown="0" showInputMessage="0" showErrorMessage="0" allowBlank="1" type="list">
      <formula1>"예,아니오"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4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34" customWidth="1" min="2" max="2"/>
    <col width="7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 ht="30" customHeight="1">
      <c r="A1" s="1" t="inlineStr">
        <is>
          <t>평가표 — 평가자4</t>
        </is>
      </c>
    </row>
    <row r="2" ht="30" customHeight="1">
      <c r="A2" s="2" t="inlineStr">
        <is>
          <t>평가자 성함을 B3에 적고, 노란 칸에 업체별 점수(배점 이내)를 입력하세요. 배점 초과 시 빨간색으로 표시됩니다.</t>
        </is>
      </c>
    </row>
    <row r="3">
      <c r="A3" s="4" t="inlineStr">
        <is>
          <t>평가자</t>
        </is>
      </c>
      <c r="B3" s="16" t="inlineStr"/>
      <c r="C3" s="4" t="inlineStr">
        <is>
          <t>평가일</t>
        </is>
      </c>
      <c r="D3" s="16" t="inlineStr"/>
    </row>
    <row r="5">
      <c r="A5" s="3" t="inlineStr">
        <is>
          <t>코드</t>
        </is>
      </c>
      <c r="B5" s="3" t="inlineStr">
        <is>
          <t>세부 항목</t>
        </is>
      </c>
      <c r="C5" s="3" t="inlineStr">
        <is>
          <t>배점</t>
        </is>
      </c>
      <c r="D5" s="3" t="inlineStr">
        <is>
          <t>인터컴</t>
        </is>
      </c>
      <c r="E5" s="3" t="inlineStr">
        <is>
          <t>유니원</t>
        </is>
      </c>
      <c r="F5" s="3" t="inlineStr">
        <is>
          <t>FM</t>
        </is>
      </c>
      <c r="G5" s="3" t="inlineStr">
        <is>
          <t>플랜웍스</t>
        </is>
      </c>
      <c r="H5" s="3" t="inlineStr">
        <is>
          <t>이즈피엠피</t>
        </is>
      </c>
      <c r="I5" s="3" t="inlineStr">
        <is>
          <t>피플엑스</t>
        </is>
      </c>
      <c r="J5" s="3" t="inlineStr">
        <is>
          <t>이도플래닝</t>
        </is>
      </c>
    </row>
    <row r="6">
      <c r="A6" s="5" t="inlineStr">
        <is>
          <t>1-1</t>
        </is>
      </c>
      <c r="B6" s="7" t="inlineStr">
        <is>
          <t>창립 메시지 해석</t>
        </is>
      </c>
      <c r="C6" s="5" t="n">
        <v>10</v>
      </c>
      <c r="D6" s="17" t="n"/>
      <c r="E6" s="17" t="n"/>
      <c r="F6" s="17" t="n"/>
      <c r="G6" s="17" t="n"/>
      <c r="H6" s="17" t="n"/>
      <c r="I6" s="17" t="n"/>
      <c r="J6" s="17" t="n"/>
    </row>
    <row r="7">
      <c r="A7" s="5" t="inlineStr">
        <is>
          <t>1-2</t>
        </is>
      </c>
      <c r="B7" s="7" t="inlineStr">
        <is>
          <t>오프닝·세리머니 차별화</t>
        </is>
      </c>
      <c r="C7" s="5" t="n">
        <v>10</v>
      </c>
      <c r="D7" s="17" t="n"/>
      <c r="E7" s="17" t="n"/>
      <c r="F7" s="17" t="n"/>
      <c r="G7" s="17" t="n"/>
      <c r="H7" s="17" t="n"/>
      <c r="I7" s="17" t="n"/>
      <c r="J7" s="17" t="n"/>
    </row>
    <row r="8">
      <c r="A8" s="5" t="inlineStr">
        <is>
          <t>1-3</t>
        </is>
      </c>
      <c r="B8" s="7" t="inlineStr">
        <is>
          <t>동문 정체성·세대 연결</t>
        </is>
      </c>
      <c r="C8" s="5" t="n">
        <v>5</v>
      </c>
      <c r="D8" s="17" t="n"/>
      <c r="E8" s="17" t="n"/>
      <c r="F8" s="17" t="n"/>
      <c r="G8" s="17" t="n"/>
      <c r="H8" s="17" t="n"/>
      <c r="I8" s="17" t="n"/>
      <c r="J8" s="17" t="n"/>
    </row>
    <row r="9">
      <c r="A9" s="11" t="inlineStr"/>
      <c r="B9" s="4" t="inlineStr">
        <is>
          <t>소계 · 행사 콘셉트·창의성</t>
        </is>
      </c>
      <c r="C9" s="18" t="n">
        <v>25</v>
      </c>
      <c r="D9" s="18">
        <f>SUM(D6:D8)</f>
        <v/>
      </c>
      <c r="E9" s="18">
        <f>SUM(E6:E8)</f>
        <v/>
      </c>
      <c r="F9" s="18">
        <f>SUM(F6:F8)</f>
        <v/>
      </c>
      <c r="G9" s="18">
        <f>SUM(G6:G8)</f>
        <v/>
      </c>
      <c r="H9" s="18">
        <f>SUM(H6:H8)</f>
        <v/>
      </c>
      <c r="I9" s="18">
        <f>SUM(I6:I8)</f>
        <v/>
      </c>
      <c r="J9" s="18">
        <f>SUM(J6:J8)</f>
        <v/>
      </c>
    </row>
    <row r="10">
      <c r="A10" s="5" t="inlineStr">
        <is>
          <t>2-1</t>
        </is>
      </c>
      <c r="B10" s="7" t="inlineStr">
        <is>
          <t>500~1,000명 호텔 갈라·창립식 실적</t>
        </is>
      </c>
      <c r="C10" s="5" t="n">
        <v>10</v>
      </c>
      <c r="D10" s="17" t="n"/>
      <c r="E10" s="17" t="n"/>
      <c r="F10" s="17" t="n"/>
      <c r="G10" s="17" t="n"/>
      <c r="H10" s="17" t="n"/>
      <c r="I10" s="17" t="n"/>
      <c r="J10" s="17" t="n"/>
    </row>
    <row r="11">
      <c r="A11" s="5" t="inlineStr">
        <is>
          <t>2-2</t>
        </is>
      </c>
      <c r="B11" s="7" t="inlineStr">
        <is>
          <t>그랜드 하얏트·Encore 경험</t>
        </is>
      </c>
      <c r="C11" s="5" t="n">
        <v>5</v>
      </c>
      <c r="D11" s="17" t="n"/>
      <c r="E11" s="17" t="n"/>
      <c r="F11" s="17" t="n"/>
      <c r="G11" s="17" t="n"/>
      <c r="H11" s="17" t="n"/>
      <c r="I11" s="17" t="n"/>
      <c r="J11" s="17" t="n"/>
    </row>
    <row r="12">
      <c r="A12" s="5" t="inlineStr">
        <is>
          <t>2-3</t>
        </is>
      </c>
      <c r="B12" s="7" t="inlineStr">
        <is>
          <t>레퍼런스 검증 가능성</t>
        </is>
      </c>
      <c r="C12" s="5" t="n">
        <v>5</v>
      </c>
      <c r="D12" s="17" t="n"/>
      <c r="E12" s="17" t="n"/>
      <c r="F12" s="17" t="n"/>
      <c r="G12" s="17" t="n"/>
      <c r="H12" s="17" t="n"/>
      <c r="I12" s="17" t="n"/>
      <c r="J12" s="17" t="n"/>
    </row>
    <row r="13">
      <c r="A13" s="11" t="inlineStr"/>
      <c r="B13" s="4" t="inlineStr">
        <is>
          <t>소계 · 유사 행사 실적</t>
        </is>
      </c>
      <c r="C13" s="18" t="n">
        <v>20</v>
      </c>
      <c r="D13" s="18">
        <f>SUM(D10:D12)</f>
        <v/>
      </c>
      <c r="E13" s="18">
        <f>SUM(E10:E12)</f>
        <v/>
      </c>
      <c r="F13" s="18">
        <f>SUM(F10:F12)</f>
        <v/>
      </c>
      <c r="G13" s="18">
        <f>SUM(G10:G12)</f>
        <v/>
      </c>
      <c r="H13" s="18">
        <f>SUM(H10:H12)</f>
        <v/>
      </c>
      <c r="I13" s="18">
        <f>SUM(I10:I12)</f>
        <v/>
      </c>
      <c r="J13" s="18">
        <f>SUM(J10:J12)</f>
        <v/>
      </c>
    </row>
    <row r="14">
      <c r="A14" s="5" t="inlineStr">
        <is>
          <t>3-1</t>
        </is>
      </c>
      <c r="B14" s="7" t="inlineStr">
        <is>
          <t>3시간 구성 균형</t>
        </is>
      </c>
      <c r="C14" s="5" t="n">
        <v>8</v>
      </c>
      <c r="D14" s="17" t="n"/>
      <c r="E14" s="17" t="n"/>
      <c r="F14" s="17" t="n"/>
      <c r="G14" s="17" t="n"/>
      <c r="H14" s="17" t="n"/>
      <c r="I14" s="17" t="n"/>
      <c r="J14" s="17" t="n"/>
    </row>
    <row r="15">
      <c r="A15" s="5" t="inlineStr">
        <is>
          <t>3-2</t>
        </is>
      </c>
      <c r="B15" s="7" t="inlineStr">
        <is>
          <t>시나리오·큐시트 완성도</t>
        </is>
      </c>
      <c r="C15" s="5" t="n">
        <v>4</v>
      </c>
      <c r="D15" s="17" t="n"/>
      <c r="E15" s="17" t="n"/>
      <c r="F15" s="17" t="n"/>
      <c r="G15" s="17" t="n"/>
      <c r="H15" s="17" t="n"/>
      <c r="I15" s="17" t="n"/>
      <c r="J15" s="17" t="n"/>
    </row>
    <row r="16">
      <c r="A16" s="5" t="inlineStr">
        <is>
          <t>3-3</t>
        </is>
      </c>
      <c r="B16" s="7" t="inlineStr">
        <is>
          <t>특별 강연 세션 연출</t>
        </is>
      </c>
      <c r="C16" s="5" t="n">
        <v>3</v>
      </c>
      <c r="D16" s="17" t="n"/>
      <c r="E16" s="17" t="n"/>
      <c r="F16" s="17" t="n"/>
      <c r="G16" s="17" t="n"/>
      <c r="H16" s="17" t="n"/>
      <c r="I16" s="17" t="n"/>
      <c r="J16" s="17" t="n"/>
    </row>
    <row r="17">
      <c r="A17" s="11" t="inlineStr"/>
      <c r="B17" s="4" t="inlineStr">
        <is>
          <t>소계 · 프로그램·스토리텔링</t>
        </is>
      </c>
      <c r="C17" s="18" t="n">
        <v>15</v>
      </c>
      <c r="D17" s="18">
        <f>SUM(D14:D16)</f>
        <v/>
      </c>
      <c r="E17" s="18">
        <f>SUM(E14:E16)</f>
        <v/>
      </c>
      <c r="F17" s="18">
        <f>SUM(F14:F16)</f>
        <v/>
      </c>
      <c r="G17" s="18">
        <f>SUM(G14:G16)</f>
        <v/>
      </c>
      <c r="H17" s="18">
        <f>SUM(H14:H16)</f>
        <v/>
      </c>
      <c r="I17" s="18">
        <f>SUM(I14:I16)</f>
        <v/>
      </c>
      <c r="J17" s="18">
        <f>SUM(J14:J16)</f>
        <v/>
      </c>
    </row>
    <row r="18">
      <c r="A18" s="5" t="inlineStr">
        <is>
          <t>4-1</t>
        </is>
      </c>
      <c r="B18" s="7" t="inlineStr">
        <is>
          <t>총괄 PM 경력·투입률</t>
        </is>
      </c>
      <c r="C18" s="5" t="n">
        <v>8</v>
      </c>
      <c r="D18" s="17" t="n"/>
      <c r="E18" s="17" t="n"/>
      <c r="F18" s="17" t="n"/>
      <c r="G18" s="17" t="n"/>
      <c r="H18" s="17" t="n"/>
      <c r="I18" s="17" t="n"/>
      <c r="J18" s="17" t="n"/>
    </row>
    <row r="19">
      <c r="A19" s="5" t="inlineStr">
        <is>
          <t>4-2</t>
        </is>
      </c>
      <c r="B19" s="7" t="inlineStr">
        <is>
          <t>핵심 팀 구성</t>
        </is>
      </c>
      <c r="C19" s="5" t="n">
        <v>4</v>
      </c>
      <c r="D19" s="17" t="n"/>
      <c r="E19" s="17" t="n"/>
      <c r="F19" s="17" t="n"/>
      <c r="G19" s="17" t="n"/>
      <c r="H19" s="17" t="n"/>
      <c r="I19" s="17" t="n"/>
      <c r="J19" s="17" t="n"/>
    </row>
    <row r="20">
      <c r="A20" s="5" t="inlineStr">
        <is>
          <t>4-3</t>
        </is>
      </c>
      <c r="B20" s="7" t="inlineStr">
        <is>
          <t>사내 제작 비중·외주 관리</t>
        </is>
      </c>
      <c r="C20" s="5" t="n">
        <v>3</v>
      </c>
      <c r="D20" s="17" t="n"/>
      <c r="E20" s="17" t="n"/>
      <c r="F20" s="17" t="n"/>
      <c r="G20" s="17" t="n"/>
      <c r="H20" s="17" t="n"/>
      <c r="I20" s="17" t="n"/>
      <c r="J20" s="17" t="n"/>
    </row>
    <row r="21">
      <c r="A21" s="11" t="inlineStr"/>
      <c r="B21" s="4" t="inlineStr">
        <is>
          <t>소계 · 실제 투입 PM·팀</t>
        </is>
      </c>
      <c r="C21" s="18" t="n">
        <v>15</v>
      </c>
      <c r="D21" s="18">
        <f>SUM(D18:D20)</f>
        <v/>
      </c>
      <c r="E21" s="18">
        <f>SUM(E18:E20)</f>
        <v/>
      </c>
      <c r="F21" s="18">
        <f>SUM(F18:F20)</f>
        <v/>
      </c>
      <c r="G21" s="18">
        <f>SUM(G18:G20)</f>
        <v/>
      </c>
      <c r="H21" s="18">
        <f>SUM(H18:H20)</f>
        <v/>
      </c>
      <c r="I21" s="18">
        <f>SUM(I18:I20)</f>
        <v/>
      </c>
      <c r="J21" s="18">
        <f>SUM(J18:J20)</f>
        <v/>
      </c>
    </row>
    <row r="22">
      <c r="A22" s="5" t="inlineStr">
        <is>
          <t>5-1</t>
        </is>
      </c>
      <c r="B22" s="7" t="inlineStr">
        <is>
          <t>등록·RSVP·QR 및 홈페이지 연계</t>
        </is>
      </c>
      <c r="C22" s="5" t="n">
        <v>4</v>
      </c>
      <c r="D22" s="17" t="n"/>
      <c r="E22" s="17" t="n"/>
      <c r="F22" s="17" t="n"/>
      <c r="G22" s="17" t="n"/>
      <c r="H22" s="17" t="n"/>
      <c r="I22" s="17" t="n"/>
      <c r="J22" s="17" t="n"/>
    </row>
    <row r="23">
      <c r="A23" s="5" t="inlineStr">
        <is>
          <t>5-2</t>
        </is>
      </c>
      <c r="B23" s="7" t="inlineStr">
        <is>
          <t>VIP 의전·좌석·동선</t>
        </is>
      </c>
      <c r="C23" s="5" t="n">
        <v>3</v>
      </c>
      <c r="D23" s="17" t="n"/>
      <c r="E23" s="17" t="n"/>
      <c r="F23" s="17" t="n"/>
      <c r="G23" s="17" t="n"/>
      <c r="H23" s="17" t="n"/>
      <c r="I23" s="17" t="n"/>
      <c r="J23" s="17" t="n"/>
    </row>
    <row r="24">
      <c r="A24" s="5" t="inlineStr">
        <is>
          <t>5-3</t>
        </is>
      </c>
      <c r="B24" s="7" t="inlineStr">
        <is>
          <t>15:00 셋업·리허설·안전</t>
        </is>
      </c>
      <c r="C24" s="5" t="n">
        <v>3</v>
      </c>
      <c r="D24" s="17" t="n"/>
      <c r="E24" s="17" t="n"/>
      <c r="F24" s="17" t="n"/>
      <c r="G24" s="17" t="n"/>
      <c r="H24" s="17" t="n"/>
      <c r="I24" s="17" t="n"/>
      <c r="J24" s="17" t="n"/>
    </row>
    <row r="25">
      <c r="A25" s="11" t="inlineStr"/>
      <c r="B25" s="4" t="inlineStr">
        <is>
          <t>소계 · 등록·VIP·현장 운영</t>
        </is>
      </c>
      <c r="C25" s="18" t="n">
        <v>10</v>
      </c>
      <c r="D25" s="18">
        <f>SUM(D22:D24)</f>
        <v/>
      </c>
      <c r="E25" s="18">
        <f>SUM(E22:E24)</f>
        <v/>
      </c>
      <c r="F25" s="18">
        <f>SUM(F22:F24)</f>
        <v/>
      </c>
      <c r="G25" s="18">
        <f>SUM(G22:G24)</f>
        <v/>
      </c>
      <c r="H25" s="18">
        <f>SUM(H22:H24)</f>
        <v/>
      </c>
      <c r="I25" s="18">
        <f>SUM(I22:I24)</f>
        <v/>
      </c>
      <c r="J25" s="18">
        <f>SUM(J22:J24)</f>
        <v/>
      </c>
    </row>
    <row r="26">
      <c r="A26" s="5" t="inlineStr">
        <is>
          <t>6-1</t>
        </is>
      </c>
      <c r="B26" s="7" t="inlineStr">
        <is>
          <t>예산 범위 적합성</t>
        </is>
      </c>
      <c r="C26" s="5" t="n">
        <v>4</v>
      </c>
      <c r="D26" s="17" t="n"/>
      <c r="E26" s="17" t="n"/>
      <c r="F26" s="17" t="n"/>
      <c r="G26" s="17" t="n"/>
      <c r="H26" s="17" t="n"/>
      <c r="I26" s="17" t="n"/>
      <c r="J26" s="17" t="n"/>
    </row>
    <row r="27">
      <c r="A27" s="5" t="inlineStr">
        <is>
          <t>6-2</t>
        </is>
      </c>
      <c r="B27" s="7" t="inlineStr">
        <is>
          <t>산출 근거·구분</t>
        </is>
      </c>
      <c r="C27" s="5" t="n">
        <v>4</v>
      </c>
      <c r="D27" s="17" t="n"/>
      <c r="E27" s="17" t="n"/>
      <c r="F27" s="17" t="n"/>
      <c r="G27" s="17" t="n"/>
      <c r="H27" s="17" t="n"/>
      <c r="I27" s="17" t="n"/>
      <c r="J27" s="17" t="n"/>
    </row>
    <row r="28">
      <c r="A28" s="5" t="inlineStr">
        <is>
          <t>6-3</t>
        </is>
      </c>
      <c r="B28" s="7" t="inlineStr">
        <is>
          <t>인원 증감·옵션 분리</t>
        </is>
      </c>
      <c r="C28" s="5" t="n">
        <v>2</v>
      </c>
      <c r="D28" s="17" t="n"/>
      <c r="E28" s="17" t="n"/>
      <c r="F28" s="17" t="n"/>
      <c r="G28" s="17" t="n"/>
      <c r="H28" s="17" t="n"/>
      <c r="I28" s="17" t="n"/>
      <c r="J28" s="17" t="n"/>
    </row>
    <row r="29">
      <c r="A29" s="11" t="inlineStr"/>
      <c r="B29" s="4" t="inlineStr">
        <is>
          <t>소계 · 예산 합리성·투명성</t>
        </is>
      </c>
      <c r="C29" s="18" t="n">
        <v>10</v>
      </c>
      <c r="D29" s="18">
        <f>SUM(D26:D28)</f>
        <v/>
      </c>
      <c r="E29" s="18">
        <f>SUM(E26:E28)</f>
        <v/>
      </c>
      <c r="F29" s="18">
        <f>SUM(F26:F28)</f>
        <v/>
      </c>
      <c r="G29" s="18">
        <f>SUM(G26:G28)</f>
        <v/>
      </c>
      <c r="H29" s="18">
        <f>SUM(H26:H28)</f>
        <v/>
      </c>
      <c r="I29" s="18">
        <f>SUM(I26:I28)</f>
        <v/>
      </c>
      <c r="J29" s="18">
        <f>SUM(J26:J28)</f>
        <v/>
      </c>
    </row>
    <row r="30">
      <c r="A30" s="5" t="inlineStr">
        <is>
          <t>7-1</t>
        </is>
      </c>
      <c r="B30" s="7" t="inlineStr">
        <is>
          <t>키비주얼·포트폴리오 품질</t>
        </is>
      </c>
      <c r="C30" s="5" t="n">
        <v>3</v>
      </c>
      <c r="D30" s="17" t="n"/>
      <c r="E30" s="17" t="n"/>
      <c r="F30" s="17" t="n"/>
      <c r="G30" s="17" t="n"/>
      <c r="H30" s="17" t="n"/>
      <c r="I30" s="17" t="n"/>
      <c r="J30" s="17" t="n"/>
    </row>
    <row r="31">
      <c r="A31" s="5" t="inlineStr">
        <is>
          <t>7-2</t>
        </is>
      </c>
      <c r="B31" s="7" t="inlineStr">
        <is>
          <t>오프닝 영상 제안</t>
        </is>
      </c>
      <c r="C31" s="5" t="n">
        <v>2</v>
      </c>
      <c r="D31" s="17" t="n"/>
      <c r="E31" s="17" t="n"/>
      <c r="F31" s="17" t="n"/>
      <c r="G31" s="17" t="n"/>
      <c r="H31" s="17" t="n"/>
      <c r="I31" s="17" t="n"/>
      <c r="J31" s="17" t="n"/>
    </row>
    <row r="32">
      <c r="A32" s="11" t="inlineStr"/>
      <c r="B32" s="4" t="inlineStr">
        <is>
          <t>소계 · 디자인·영상 완성도</t>
        </is>
      </c>
      <c r="C32" s="18" t="n">
        <v>5</v>
      </c>
      <c r="D32" s="18">
        <f>SUM(D30:D31)</f>
        <v/>
      </c>
      <c r="E32" s="18">
        <f>SUM(E30:E31)</f>
        <v/>
      </c>
      <c r="F32" s="18">
        <f>SUM(F30:F31)</f>
        <v/>
      </c>
      <c r="G32" s="18">
        <f>SUM(G30:G31)</f>
        <v/>
      </c>
      <c r="H32" s="18">
        <f>SUM(H30:H31)</f>
        <v/>
      </c>
      <c r="I32" s="18">
        <f>SUM(I30:I31)</f>
        <v/>
      </c>
      <c r="J32" s="18">
        <f>SUM(J30:J31)</f>
        <v/>
      </c>
    </row>
    <row r="33">
      <c r="B33" s="13" t="inlineStr">
        <is>
          <t>총점 (100)</t>
        </is>
      </c>
      <c r="C33" s="14" t="n">
        <v>100</v>
      </c>
      <c r="D33" s="14">
        <f>D9+D13+D17+D21+D25+D29+D32</f>
        <v/>
      </c>
      <c r="E33" s="14">
        <f>E9+E13+E17+E21+E25+E29+E32</f>
        <v/>
      </c>
      <c r="F33" s="14">
        <f>F9+F13+F17+F21+F25+F29+F32</f>
        <v/>
      </c>
      <c r="G33" s="14">
        <f>G9+G13+G17+G21+G25+G29+G32</f>
        <v/>
      </c>
      <c r="H33" s="14">
        <f>H9+H13+H17+H21+H25+H29+H32</f>
        <v/>
      </c>
      <c r="I33" s="14">
        <f>I9+I13+I17+I21+I25+I29+I32</f>
        <v/>
      </c>
      <c r="J33" s="14">
        <f>J9+J13+J17+J21+J25+J29+J32</f>
        <v/>
      </c>
    </row>
    <row r="35">
      <c r="A35" s="5" t="inlineStr">
        <is>
          <t>G1</t>
        </is>
      </c>
      <c r="B35" s="7" t="inlineStr">
        <is>
          <t>2027.4.16 현장 운영 가능</t>
        </is>
      </c>
      <c r="C35" s="19" t="inlineStr">
        <is>
          <t>예/아니오</t>
        </is>
      </c>
      <c r="D35" s="17" t="n"/>
      <c r="E35" s="17" t="n"/>
      <c r="F35" s="17" t="n"/>
      <c r="G35" s="17" t="n"/>
      <c r="H35" s="17" t="n"/>
      <c r="I35" s="17" t="n"/>
      <c r="J35" s="17" t="n"/>
    </row>
    <row r="36">
      <c r="A36" s="5" t="inlineStr">
        <is>
          <t>G2</t>
        </is>
      </c>
      <c r="B36" s="7" t="inlineStr">
        <is>
          <t>호텔 60일 전 통보·사전 승인 이행 동의</t>
        </is>
      </c>
      <c r="C36" s="19" t="inlineStr">
        <is>
          <t>예/아니오</t>
        </is>
      </c>
      <c r="D36" s="17" t="n"/>
      <c r="E36" s="17" t="n"/>
      <c r="F36" s="17" t="n"/>
      <c r="G36" s="17" t="n"/>
      <c r="H36" s="17" t="n"/>
      <c r="I36" s="17" t="n"/>
      <c r="J36" s="17" t="n"/>
    </row>
    <row r="37">
      <c r="A37" s="5" t="inlineStr">
        <is>
          <t>G3</t>
        </is>
      </c>
      <c r="B37" s="7" t="inlineStr">
        <is>
          <t>VAT 포함·별도 금액 모두 제출</t>
        </is>
      </c>
      <c r="C37" s="19" t="inlineStr">
        <is>
          <t>예/아니오</t>
        </is>
      </c>
      <c r="D37" s="17" t="n"/>
      <c r="E37" s="17" t="n"/>
      <c r="F37" s="17" t="n"/>
      <c r="G37" s="17" t="n"/>
      <c r="H37" s="17" t="n"/>
      <c r="I37" s="17" t="n"/>
      <c r="J37" s="17" t="n"/>
    </row>
    <row r="38">
      <c r="A38" s="5" t="inlineStr">
        <is>
          <t>G4</t>
        </is>
      </c>
      <c r="B38" s="7" t="inlineStr">
        <is>
          <t>핵심 인력 실투입 확약</t>
        </is>
      </c>
      <c r="C38" s="19" t="inlineStr">
        <is>
          <t>예/아니오</t>
        </is>
      </c>
      <c r="D38" s="17" t="n"/>
      <c r="E38" s="17" t="n"/>
      <c r="F38" s="17" t="n"/>
      <c r="G38" s="17" t="n"/>
      <c r="H38" s="17" t="n"/>
      <c r="I38" s="17" t="n"/>
      <c r="J38" s="17" t="n"/>
    </row>
    <row r="39">
      <c r="A39" s="5" t="inlineStr">
        <is>
          <t>G5</t>
        </is>
      </c>
      <c r="B39" s="7" t="inlineStr">
        <is>
          <t>참석자 개인정보 처리 방안 제출</t>
        </is>
      </c>
      <c r="C39" s="19" t="inlineStr">
        <is>
          <t>예/아니오</t>
        </is>
      </c>
      <c r="D39" s="17" t="n"/>
      <c r="E39" s="17" t="n"/>
      <c r="F39" s="17" t="n"/>
      <c r="G39" s="17" t="n"/>
      <c r="H39" s="17" t="n"/>
      <c r="I39" s="17" t="n"/>
      <c r="J39" s="17" t="n"/>
    </row>
    <row r="41">
      <c r="A41" s="4" t="inlineStr">
        <is>
          <t>의견</t>
        </is>
      </c>
      <c r="D41" s="16" t="n"/>
      <c r="E41" s="16" t="n"/>
      <c r="F41" s="16" t="n"/>
      <c r="G41" s="16" t="n"/>
      <c r="H41" s="16" t="n"/>
      <c r="I41" s="16" t="n"/>
      <c r="J41" s="16" t="n"/>
    </row>
    <row r="42"/>
    <row r="43"/>
    <row r="44"/>
  </sheetData>
  <mergeCells count="9">
    <mergeCell ref="H41:H44"/>
    <mergeCell ref="D41:D44"/>
    <mergeCell ref="A2:K2"/>
    <mergeCell ref="J41:J44"/>
    <mergeCell ref="E41:E44"/>
    <mergeCell ref="F41:F44"/>
    <mergeCell ref="A1:K1"/>
    <mergeCell ref="I41:I44"/>
    <mergeCell ref="G41:G44"/>
  </mergeCells>
  <conditionalFormatting sqref="D6:J32">
    <cfRule type="cellIs" priority="1" operator="greaterThan" dxfId="0">
      <formula>$C6</formula>
    </cfRule>
  </conditionalFormatting>
  <dataValidations count="1">
    <dataValidation sqref="D35:J39" showDropDown="0" showInputMessage="0" showErrorMessage="0" allowBlank="1" type="list">
      <formula1>"예,아니오"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44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34" customWidth="1" min="2" max="2"/>
    <col width="7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 ht="30" customHeight="1">
      <c r="A1" s="1" t="inlineStr">
        <is>
          <t>평가표 — 평가자5</t>
        </is>
      </c>
    </row>
    <row r="2" ht="30" customHeight="1">
      <c r="A2" s="2" t="inlineStr">
        <is>
          <t>평가자 성함을 B3에 적고, 노란 칸에 업체별 점수(배점 이내)를 입력하세요. 배점 초과 시 빨간색으로 표시됩니다.</t>
        </is>
      </c>
    </row>
    <row r="3">
      <c r="A3" s="4" t="inlineStr">
        <is>
          <t>평가자</t>
        </is>
      </c>
      <c r="B3" s="16" t="inlineStr"/>
      <c r="C3" s="4" t="inlineStr">
        <is>
          <t>평가일</t>
        </is>
      </c>
      <c r="D3" s="16" t="inlineStr"/>
    </row>
    <row r="5">
      <c r="A5" s="3" t="inlineStr">
        <is>
          <t>코드</t>
        </is>
      </c>
      <c r="B5" s="3" t="inlineStr">
        <is>
          <t>세부 항목</t>
        </is>
      </c>
      <c r="C5" s="3" t="inlineStr">
        <is>
          <t>배점</t>
        </is>
      </c>
      <c r="D5" s="3" t="inlineStr">
        <is>
          <t>인터컴</t>
        </is>
      </c>
      <c r="E5" s="3" t="inlineStr">
        <is>
          <t>유니원</t>
        </is>
      </c>
      <c r="F5" s="3" t="inlineStr">
        <is>
          <t>FM</t>
        </is>
      </c>
      <c r="G5" s="3" t="inlineStr">
        <is>
          <t>플랜웍스</t>
        </is>
      </c>
      <c r="H5" s="3" t="inlineStr">
        <is>
          <t>이즈피엠피</t>
        </is>
      </c>
      <c r="I5" s="3" t="inlineStr">
        <is>
          <t>피플엑스</t>
        </is>
      </c>
      <c r="J5" s="3" t="inlineStr">
        <is>
          <t>이도플래닝</t>
        </is>
      </c>
    </row>
    <row r="6">
      <c r="A6" s="5" t="inlineStr">
        <is>
          <t>1-1</t>
        </is>
      </c>
      <c r="B6" s="7" t="inlineStr">
        <is>
          <t>창립 메시지 해석</t>
        </is>
      </c>
      <c r="C6" s="5" t="n">
        <v>10</v>
      </c>
      <c r="D6" s="17" t="n"/>
      <c r="E6" s="17" t="n"/>
      <c r="F6" s="17" t="n"/>
      <c r="G6" s="17" t="n"/>
      <c r="H6" s="17" t="n"/>
      <c r="I6" s="17" t="n"/>
      <c r="J6" s="17" t="n"/>
    </row>
    <row r="7">
      <c r="A7" s="5" t="inlineStr">
        <is>
          <t>1-2</t>
        </is>
      </c>
      <c r="B7" s="7" t="inlineStr">
        <is>
          <t>오프닝·세리머니 차별화</t>
        </is>
      </c>
      <c r="C7" s="5" t="n">
        <v>10</v>
      </c>
      <c r="D7" s="17" t="n"/>
      <c r="E7" s="17" t="n"/>
      <c r="F7" s="17" t="n"/>
      <c r="G7" s="17" t="n"/>
      <c r="H7" s="17" t="n"/>
      <c r="I7" s="17" t="n"/>
      <c r="J7" s="17" t="n"/>
    </row>
    <row r="8">
      <c r="A8" s="5" t="inlineStr">
        <is>
          <t>1-3</t>
        </is>
      </c>
      <c r="B8" s="7" t="inlineStr">
        <is>
          <t>동문 정체성·세대 연결</t>
        </is>
      </c>
      <c r="C8" s="5" t="n">
        <v>5</v>
      </c>
      <c r="D8" s="17" t="n"/>
      <c r="E8" s="17" t="n"/>
      <c r="F8" s="17" t="n"/>
      <c r="G8" s="17" t="n"/>
      <c r="H8" s="17" t="n"/>
      <c r="I8" s="17" t="n"/>
      <c r="J8" s="17" t="n"/>
    </row>
    <row r="9">
      <c r="A9" s="11" t="inlineStr"/>
      <c r="B9" s="4" t="inlineStr">
        <is>
          <t>소계 · 행사 콘셉트·창의성</t>
        </is>
      </c>
      <c r="C9" s="18" t="n">
        <v>25</v>
      </c>
      <c r="D9" s="18">
        <f>SUM(D6:D8)</f>
        <v/>
      </c>
      <c r="E9" s="18">
        <f>SUM(E6:E8)</f>
        <v/>
      </c>
      <c r="F9" s="18">
        <f>SUM(F6:F8)</f>
        <v/>
      </c>
      <c r="G9" s="18">
        <f>SUM(G6:G8)</f>
        <v/>
      </c>
      <c r="H9" s="18">
        <f>SUM(H6:H8)</f>
        <v/>
      </c>
      <c r="I9" s="18">
        <f>SUM(I6:I8)</f>
        <v/>
      </c>
      <c r="J9" s="18">
        <f>SUM(J6:J8)</f>
        <v/>
      </c>
    </row>
    <row r="10">
      <c r="A10" s="5" t="inlineStr">
        <is>
          <t>2-1</t>
        </is>
      </c>
      <c r="B10" s="7" t="inlineStr">
        <is>
          <t>500~1,000명 호텔 갈라·창립식 실적</t>
        </is>
      </c>
      <c r="C10" s="5" t="n">
        <v>10</v>
      </c>
      <c r="D10" s="17" t="n"/>
      <c r="E10" s="17" t="n"/>
      <c r="F10" s="17" t="n"/>
      <c r="G10" s="17" t="n"/>
      <c r="H10" s="17" t="n"/>
      <c r="I10" s="17" t="n"/>
      <c r="J10" s="17" t="n"/>
    </row>
    <row r="11">
      <c r="A11" s="5" t="inlineStr">
        <is>
          <t>2-2</t>
        </is>
      </c>
      <c r="B11" s="7" t="inlineStr">
        <is>
          <t>그랜드 하얏트·Encore 경험</t>
        </is>
      </c>
      <c r="C11" s="5" t="n">
        <v>5</v>
      </c>
      <c r="D11" s="17" t="n"/>
      <c r="E11" s="17" t="n"/>
      <c r="F11" s="17" t="n"/>
      <c r="G11" s="17" t="n"/>
      <c r="H11" s="17" t="n"/>
      <c r="I11" s="17" t="n"/>
      <c r="J11" s="17" t="n"/>
    </row>
    <row r="12">
      <c r="A12" s="5" t="inlineStr">
        <is>
          <t>2-3</t>
        </is>
      </c>
      <c r="B12" s="7" t="inlineStr">
        <is>
          <t>레퍼런스 검증 가능성</t>
        </is>
      </c>
      <c r="C12" s="5" t="n">
        <v>5</v>
      </c>
      <c r="D12" s="17" t="n"/>
      <c r="E12" s="17" t="n"/>
      <c r="F12" s="17" t="n"/>
      <c r="G12" s="17" t="n"/>
      <c r="H12" s="17" t="n"/>
      <c r="I12" s="17" t="n"/>
      <c r="J12" s="17" t="n"/>
    </row>
    <row r="13">
      <c r="A13" s="11" t="inlineStr"/>
      <c r="B13" s="4" t="inlineStr">
        <is>
          <t>소계 · 유사 행사 실적</t>
        </is>
      </c>
      <c r="C13" s="18" t="n">
        <v>20</v>
      </c>
      <c r="D13" s="18">
        <f>SUM(D10:D12)</f>
        <v/>
      </c>
      <c r="E13" s="18">
        <f>SUM(E10:E12)</f>
        <v/>
      </c>
      <c r="F13" s="18">
        <f>SUM(F10:F12)</f>
        <v/>
      </c>
      <c r="G13" s="18">
        <f>SUM(G10:G12)</f>
        <v/>
      </c>
      <c r="H13" s="18">
        <f>SUM(H10:H12)</f>
        <v/>
      </c>
      <c r="I13" s="18">
        <f>SUM(I10:I12)</f>
        <v/>
      </c>
      <c r="J13" s="18">
        <f>SUM(J10:J12)</f>
        <v/>
      </c>
    </row>
    <row r="14">
      <c r="A14" s="5" t="inlineStr">
        <is>
          <t>3-1</t>
        </is>
      </c>
      <c r="B14" s="7" t="inlineStr">
        <is>
          <t>3시간 구성 균형</t>
        </is>
      </c>
      <c r="C14" s="5" t="n">
        <v>8</v>
      </c>
      <c r="D14" s="17" t="n"/>
      <c r="E14" s="17" t="n"/>
      <c r="F14" s="17" t="n"/>
      <c r="G14" s="17" t="n"/>
      <c r="H14" s="17" t="n"/>
      <c r="I14" s="17" t="n"/>
      <c r="J14" s="17" t="n"/>
    </row>
    <row r="15">
      <c r="A15" s="5" t="inlineStr">
        <is>
          <t>3-2</t>
        </is>
      </c>
      <c r="B15" s="7" t="inlineStr">
        <is>
          <t>시나리오·큐시트 완성도</t>
        </is>
      </c>
      <c r="C15" s="5" t="n">
        <v>4</v>
      </c>
      <c r="D15" s="17" t="n"/>
      <c r="E15" s="17" t="n"/>
      <c r="F15" s="17" t="n"/>
      <c r="G15" s="17" t="n"/>
      <c r="H15" s="17" t="n"/>
      <c r="I15" s="17" t="n"/>
      <c r="J15" s="17" t="n"/>
    </row>
    <row r="16">
      <c r="A16" s="5" t="inlineStr">
        <is>
          <t>3-3</t>
        </is>
      </c>
      <c r="B16" s="7" t="inlineStr">
        <is>
          <t>특별 강연 세션 연출</t>
        </is>
      </c>
      <c r="C16" s="5" t="n">
        <v>3</v>
      </c>
      <c r="D16" s="17" t="n"/>
      <c r="E16" s="17" t="n"/>
      <c r="F16" s="17" t="n"/>
      <c r="G16" s="17" t="n"/>
      <c r="H16" s="17" t="n"/>
      <c r="I16" s="17" t="n"/>
      <c r="J16" s="17" t="n"/>
    </row>
    <row r="17">
      <c r="A17" s="11" t="inlineStr"/>
      <c r="B17" s="4" t="inlineStr">
        <is>
          <t>소계 · 프로그램·스토리텔링</t>
        </is>
      </c>
      <c r="C17" s="18" t="n">
        <v>15</v>
      </c>
      <c r="D17" s="18">
        <f>SUM(D14:D16)</f>
        <v/>
      </c>
      <c r="E17" s="18">
        <f>SUM(E14:E16)</f>
        <v/>
      </c>
      <c r="F17" s="18">
        <f>SUM(F14:F16)</f>
        <v/>
      </c>
      <c r="G17" s="18">
        <f>SUM(G14:G16)</f>
        <v/>
      </c>
      <c r="H17" s="18">
        <f>SUM(H14:H16)</f>
        <v/>
      </c>
      <c r="I17" s="18">
        <f>SUM(I14:I16)</f>
        <v/>
      </c>
      <c r="J17" s="18">
        <f>SUM(J14:J16)</f>
        <v/>
      </c>
    </row>
    <row r="18">
      <c r="A18" s="5" t="inlineStr">
        <is>
          <t>4-1</t>
        </is>
      </c>
      <c r="B18" s="7" t="inlineStr">
        <is>
          <t>총괄 PM 경력·투입률</t>
        </is>
      </c>
      <c r="C18" s="5" t="n">
        <v>8</v>
      </c>
      <c r="D18" s="17" t="n"/>
      <c r="E18" s="17" t="n"/>
      <c r="F18" s="17" t="n"/>
      <c r="G18" s="17" t="n"/>
      <c r="H18" s="17" t="n"/>
      <c r="I18" s="17" t="n"/>
      <c r="J18" s="17" t="n"/>
    </row>
    <row r="19">
      <c r="A19" s="5" t="inlineStr">
        <is>
          <t>4-2</t>
        </is>
      </c>
      <c r="B19" s="7" t="inlineStr">
        <is>
          <t>핵심 팀 구성</t>
        </is>
      </c>
      <c r="C19" s="5" t="n">
        <v>4</v>
      </c>
      <c r="D19" s="17" t="n"/>
      <c r="E19" s="17" t="n"/>
      <c r="F19" s="17" t="n"/>
      <c r="G19" s="17" t="n"/>
      <c r="H19" s="17" t="n"/>
      <c r="I19" s="17" t="n"/>
      <c r="J19" s="17" t="n"/>
    </row>
    <row r="20">
      <c r="A20" s="5" t="inlineStr">
        <is>
          <t>4-3</t>
        </is>
      </c>
      <c r="B20" s="7" t="inlineStr">
        <is>
          <t>사내 제작 비중·외주 관리</t>
        </is>
      </c>
      <c r="C20" s="5" t="n">
        <v>3</v>
      </c>
      <c r="D20" s="17" t="n"/>
      <c r="E20" s="17" t="n"/>
      <c r="F20" s="17" t="n"/>
      <c r="G20" s="17" t="n"/>
      <c r="H20" s="17" t="n"/>
      <c r="I20" s="17" t="n"/>
      <c r="J20" s="17" t="n"/>
    </row>
    <row r="21">
      <c r="A21" s="11" t="inlineStr"/>
      <c r="B21" s="4" t="inlineStr">
        <is>
          <t>소계 · 실제 투입 PM·팀</t>
        </is>
      </c>
      <c r="C21" s="18" t="n">
        <v>15</v>
      </c>
      <c r="D21" s="18">
        <f>SUM(D18:D20)</f>
        <v/>
      </c>
      <c r="E21" s="18">
        <f>SUM(E18:E20)</f>
        <v/>
      </c>
      <c r="F21" s="18">
        <f>SUM(F18:F20)</f>
        <v/>
      </c>
      <c r="G21" s="18">
        <f>SUM(G18:G20)</f>
        <v/>
      </c>
      <c r="H21" s="18">
        <f>SUM(H18:H20)</f>
        <v/>
      </c>
      <c r="I21" s="18">
        <f>SUM(I18:I20)</f>
        <v/>
      </c>
      <c r="J21" s="18">
        <f>SUM(J18:J20)</f>
        <v/>
      </c>
    </row>
    <row r="22">
      <c r="A22" s="5" t="inlineStr">
        <is>
          <t>5-1</t>
        </is>
      </c>
      <c r="B22" s="7" t="inlineStr">
        <is>
          <t>등록·RSVP·QR 및 홈페이지 연계</t>
        </is>
      </c>
      <c r="C22" s="5" t="n">
        <v>4</v>
      </c>
      <c r="D22" s="17" t="n"/>
      <c r="E22" s="17" t="n"/>
      <c r="F22" s="17" t="n"/>
      <c r="G22" s="17" t="n"/>
      <c r="H22" s="17" t="n"/>
      <c r="I22" s="17" t="n"/>
      <c r="J22" s="17" t="n"/>
    </row>
    <row r="23">
      <c r="A23" s="5" t="inlineStr">
        <is>
          <t>5-2</t>
        </is>
      </c>
      <c r="B23" s="7" t="inlineStr">
        <is>
          <t>VIP 의전·좌석·동선</t>
        </is>
      </c>
      <c r="C23" s="5" t="n">
        <v>3</v>
      </c>
      <c r="D23" s="17" t="n"/>
      <c r="E23" s="17" t="n"/>
      <c r="F23" s="17" t="n"/>
      <c r="G23" s="17" t="n"/>
      <c r="H23" s="17" t="n"/>
      <c r="I23" s="17" t="n"/>
      <c r="J23" s="17" t="n"/>
    </row>
    <row r="24">
      <c r="A24" s="5" t="inlineStr">
        <is>
          <t>5-3</t>
        </is>
      </c>
      <c r="B24" s="7" t="inlineStr">
        <is>
          <t>15:00 셋업·리허설·안전</t>
        </is>
      </c>
      <c r="C24" s="5" t="n">
        <v>3</v>
      </c>
      <c r="D24" s="17" t="n"/>
      <c r="E24" s="17" t="n"/>
      <c r="F24" s="17" t="n"/>
      <c r="G24" s="17" t="n"/>
      <c r="H24" s="17" t="n"/>
      <c r="I24" s="17" t="n"/>
      <c r="J24" s="17" t="n"/>
    </row>
    <row r="25">
      <c r="A25" s="11" t="inlineStr"/>
      <c r="B25" s="4" t="inlineStr">
        <is>
          <t>소계 · 등록·VIP·현장 운영</t>
        </is>
      </c>
      <c r="C25" s="18" t="n">
        <v>10</v>
      </c>
      <c r="D25" s="18">
        <f>SUM(D22:D24)</f>
        <v/>
      </c>
      <c r="E25" s="18">
        <f>SUM(E22:E24)</f>
        <v/>
      </c>
      <c r="F25" s="18">
        <f>SUM(F22:F24)</f>
        <v/>
      </c>
      <c r="G25" s="18">
        <f>SUM(G22:G24)</f>
        <v/>
      </c>
      <c r="H25" s="18">
        <f>SUM(H22:H24)</f>
        <v/>
      </c>
      <c r="I25" s="18">
        <f>SUM(I22:I24)</f>
        <v/>
      </c>
      <c r="J25" s="18">
        <f>SUM(J22:J24)</f>
        <v/>
      </c>
    </row>
    <row r="26">
      <c r="A26" s="5" t="inlineStr">
        <is>
          <t>6-1</t>
        </is>
      </c>
      <c r="B26" s="7" t="inlineStr">
        <is>
          <t>예산 범위 적합성</t>
        </is>
      </c>
      <c r="C26" s="5" t="n">
        <v>4</v>
      </c>
      <c r="D26" s="17" t="n"/>
      <c r="E26" s="17" t="n"/>
      <c r="F26" s="17" t="n"/>
      <c r="G26" s="17" t="n"/>
      <c r="H26" s="17" t="n"/>
      <c r="I26" s="17" t="n"/>
      <c r="J26" s="17" t="n"/>
    </row>
    <row r="27">
      <c r="A27" s="5" t="inlineStr">
        <is>
          <t>6-2</t>
        </is>
      </c>
      <c r="B27" s="7" t="inlineStr">
        <is>
          <t>산출 근거·구분</t>
        </is>
      </c>
      <c r="C27" s="5" t="n">
        <v>4</v>
      </c>
      <c r="D27" s="17" t="n"/>
      <c r="E27" s="17" t="n"/>
      <c r="F27" s="17" t="n"/>
      <c r="G27" s="17" t="n"/>
      <c r="H27" s="17" t="n"/>
      <c r="I27" s="17" t="n"/>
      <c r="J27" s="17" t="n"/>
    </row>
    <row r="28">
      <c r="A28" s="5" t="inlineStr">
        <is>
          <t>6-3</t>
        </is>
      </c>
      <c r="B28" s="7" t="inlineStr">
        <is>
          <t>인원 증감·옵션 분리</t>
        </is>
      </c>
      <c r="C28" s="5" t="n">
        <v>2</v>
      </c>
      <c r="D28" s="17" t="n"/>
      <c r="E28" s="17" t="n"/>
      <c r="F28" s="17" t="n"/>
      <c r="G28" s="17" t="n"/>
      <c r="H28" s="17" t="n"/>
      <c r="I28" s="17" t="n"/>
      <c r="J28" s="17" t="n"/>
    </row>
    <row r="29">
      <c r="A29" s="11" t="inlineStr"/>
      <c r="B29" s="4" t="inlineStr">
        <is>
          <t>소계 · 예산 합리성·투명성</t>
        </is>
      </c>
      <c r="C29" s="18" t="n">
        <v>10</v>
      </c>
      <c r="D29" s="18">
        <f>SUM(D26:D28)</f>
        <v/>
      </c>
      <c r="E29" s="18">
        <f>SUM(E26:E28)</f>
        <v/>
      </c>
      <c r="F29" s="18">
        <f>SUM(F26:F28)</f>
        <v/>
      </c>
      <c r="G29" s="18">
        <f>SUM(G26:G28)</f>
        <v/>
      </c>
      <c r="H29" s="18">
        <f>SUM(H26:H28)</f>
        <v/>
      </c>
      <c r="I29" s="18">
        <f>SUM(I26:I28)</f>
        <v/>
      </c>
      <c r="J29" s="18">
        <f>SUM(J26:J28)</f>
        <v/>
      </c>
    </row>
    <row r="30">
      <c r="A30" s="5" t="inlineStr">
        <is>
          <t>7-1</t>
        </is>
      </c>
      <c r="B30" s="7" t="inlineStr">
        <is>
          <t>키비주얼·포트폴리오 품질</t>
        </is>
      </c>
      <c r="C30" s="5" t="n">
        <v>3</v>
      </c>
      <c r="D30" s="17" t="n"/>
      <c r="E30" s="17" t="n"/>
      <c r="F30" s="17" t="n"/>
      <c r="G30" s="17" t="n"/>
      <c r="H30" s="17" t="n"/>
      <c r="I30" s="17" t="n"/>
      <c r="J30" s="17" t="n"/>
    </row>
    <row r="31">
      <c r="A31" s="5" t="inlineStr">
        <is>
          <t>7-2</t>
        </is>
      </c>
      <c r="B31" s="7" t="inlineStr">
        <is>
          <t>오프닝 영상 제안</t>
        </is>
      </c>
      <c r="C31" s="5" t="n">
        <v>2</v>
      </c>
      <c r="D31" s="17" t="n"/>
      <c r="E31" s="17" t="n"/>
      <c r="F31" s="17" t="n"/>
      <c r="G31" s="17" t="n"/>
      <c r="H31" s="17" t="n"/>
      <c r="I31" s="17" t="n"/>
      <c r="J31" s="17" t="n"/>
    </row>
    <row r="32">
      <c r="A32" s="11" t="inlineStr"/>
      <c r="B32" s="4" t="inlineStr">
        <is>
          <t>소계 · 디자인·영상 완성도</t>
        </is>
      </c>
      <c r="C32" s="18" t="n">
        <v>5</v>
      </c>
      <c r="D32" s="18">
        <f>SUM(D30:D31)</f>
        <v/>
      </c>
      <c r="E32" s="18">
        <f>SUM(E30:E31)</f>
        <v/>
      </c>
      <c r="F32" s="18">
        <f>SUM(F30:F31)</f>
        <v/>
      </c>
      <c r="G32" s="18">
        <f>SUM(G30:G31)</f>
        <v/>
      </c>
      <c r="H32" s="18">
        <f>SUM(H30:H31)</f>
        <v/>
      </c>
      <c r="I32" s="18">
        <f>SUM(I30:I31)</f>
        <v/>
      </c>
      <c r="J32" s="18">
        <f>SUM(J30:J31)</f>
        <v/>
      </c>
    </row>
    <row r="33">
      <c r="B33" s="13" t="inlineStr">
        <is>
          <t>총점 (100)</t>
        </is>
      </c>
      <c r="C33" s="14" t="n">
        <v>100</v>
      </c>
      <c r="D33" s="14">
        <f>D9+D13+D17+D21+D25+D29+D32</f>
        <v/>
      </c>
      <c r="E33" s="14">
        <f>E9+E13+E17+E21+E25+E29+E32</f>
        <v/>
      </c>
      <c r="F33" s="14">
        <f>F9+F13+F17+F21+F25+F29+F32</f>
        <v/>
      </c>
      <c r="G33" s="14">
        <f>G9+G13+G17+G21+G25+G29+G32</f>
        <v/>
      </c>
      <c r="H33" s="14">
        <f>H9+H13+H17+H21+H25+H29+H32</f>
        <v/>
      </c>
      <c r="I33" s="14">
        <f>I9+I13+I17+I21+I25+I29+I32</f>
        <v/>
      </c>
      <c r="J33" s="14">
        <f>J9+J13+J17+J21+J25+J29+J32</f>
        <v/>
      </c>
    </row>
    <row r="35">
      <c r="A35" s="5" t="inlineStr">
        <is>
          <t>G1</t>
        </is>
      </c>
      <c r="B35" s="7" t="inlineStr">
        <is>
          <t>2027.4.16 현장 운영 가능</t>
        </is>
      </c>
      <c r="C35" s="19" t="inlineStr">
        <is>
          <t>예/아니오</t>
        </is>
      </c>
      <c r="D35" s="17" t="n"/>
      <c r="E35" s="17" t="n"/>
      <c r="F35" s="17" t="n"/>
      <c r="G35" s="17" t="n"/>
      <c r="H35" s="17" t="n"/>
      <c r="I35" s="17" t="n"/>
      <c r="J35" s="17" t="n"/>
    </row>
    <row r="36">
      <c r="A36" s="5" t="inlineStr">
        <is>
          <t>G2</t>
        </is>
      </c>
      <c r="B36" s="7" t="inlineStr">
        <is>
          <t>호텔 60일 전 통보·사전 승인 이행 동의</t>
        </is>
      </c>
      <c r="C36" s="19" t="inlineStr">
        <is>
          <t>예/아니오</t>
        </is>
      </c>
      <c r="D36" s="17" t="n"/>
      <c r="E36" s="17" t="n"/>
      <c r="F36" s="17" t="n"/>
      <c r="G36" s="17" t="n"/>
      <c r="H36" s="17" t="n"/>
      <c r="I36" s="17" t="n"/>
      <c r="J36" s="17" t="n"/>
    </row>
    <row r="37">
      <c r="A37" s="5" t="inlineStr">
        <is>
          <t>G3</t>
        </is>
      </c>
      <c r="B37" s="7" t="inlineStr">
        <is>
          <t>VAT 포함·별도 금액 모두 제출</t>
        </is>
      </c>
      <c r="C37" s="19" t="inlineStr">
        <is>
          <t>예/아니오</t>
        </is>
      </c>
      <c r="D37" s="17" t="n"/>
      <c r="E37" s="17" t="n"/>
      <c r="F37" s="17" t="n"/>
      <c r="G37" s="17" t="n"/>
      <c r="H37" s="17" t="n"/>
      <c r="I37" s="17" t="n"/>
      <c r="J37" s="17" t="n"/>
    </row>
    <row r="38">
      <c r="A38" s="5" t="inlineStr">
        <is>
          <t>G4</t>
        </is>
      </c>
      <c r="B38" s="7" t="inlineStr">
        <is>
          <t>핵심 인력 실투입 확약</t>
        </is>
      </c>
      <c r="C38" s="19" t="inlineStr">
        <is>
          <t>예/아니오</t>
        </is>
      </c>
      <c r="D38" s="17" t="n"/>
      <c r="E38" s="17" t="n"/>
      <c r="F38" s="17" t="n"/>
      <c r="G38" s="17" t="n"/>
      <c r="H38" s="17" t="n"/>
      <c r="I38" s="17" t="n"/>
      <c r="J38" s="17" t="n"/>
    </row>
    <row r="39">
      <c r="A39" s="5" t="inlineStr">
        <is>
          <t>G5</t>
        </is>
      </c>
      <c r="B39" s="7" t="inlineStr">
        <is>
          <t>참석자 개인정보 처리 방안 제출</t>
        </is>
      </c>
      <c r="C39" s="19" t="inlineStr">
        <is>
          <t>예/아니오</t>
        </is>
      </c>
      <c r="D39" s="17" t="n"/>
      <c r="E39" s="17" t="n"/>
      <c r="F39" s="17" t="n"/>
      <c r="G39" s="17" t="n"/>
      <c r="H39" s="17" t="n"/>
      <c r="I39" s="17" t="n"/>
      <c r="J39" s="17" t="n"/>
    </row>
    <row r="41">
      <c r="A41" s="4" t="inlineStr">
        <is>
          <t>의견</t>
        </is>
      </c>
      <c r="D41" s="16" t="n"/>
      <c r="E41" s="16" t="n"/>
      <c r="F41" s="16" t="n"/>
      <c r="G41" s="16" t="n"/>
      <c r="H41" s="16" t="n"/>
      <c r="I41" s="16" t="n"/>
      <c r="J41" s="16" t="n"/>
    </row>
    <row r="42"/>
    <row r="43"/>
    <row r="44"/>
  </sheetData>
  <mergeCells count="9">
    <mergeCell ref="H41:H44"/>
    <mergeCell ref="D41:D44"/>
    <mergeCell ref="A2:K2"/>
    <mergeCell ref="J41:J44"/>
    <mergeCell ref="E41:E44"/>
    <mergeCell ref="F41:F44"/>
    <mergeCell ref="A1:K1"/>
    <mergeCell ref="I41:I44"/>
    <mergeCell ref="G41:G44"/>
  </mergeCells>
  <conditionalFormatting sqref="D6:J32">
    <cfRule type="cellIs" priority="1" operator="greaterThan" dxfId="0">
      <formula>$C6</formula>
    </cfRule>
  </conditionalFormatting>
  <dataValidations count="1">
    <dataValidation sqref="D35:J39" showDropDown="0" showInputMessage="0" showErrorMessage="0" allowBlank="1" type="list">
      <formula1>"예,아니오"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2026-10-20T03:32:20Z</dcterms:created>
  <dcterms:modified xmlns:dcterms="http://purl.org/dc/terms/" xmlns:xsi="http://www.w3.org/2001/XMLSchema-instance" xsi:type="dcterms:W3CDTF">2026-10-20T03:32:20Z</dcterms:modified>
</cp:coreProperties>
</file>